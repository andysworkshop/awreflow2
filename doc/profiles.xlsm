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P:\docs\andyworkshop\awreflow2\"/>
    </mc:Choice>
  </mc:AlternateContent>
  <bookViews>
    <workbookView xWindow="0" yWindow="0" windowWidth="28770" windowHeight="12645"/>
  </bookViews>
  <sheets>
    <sheet name="Lead Free" sheetId="4" r:id="rId1"/>
    <sheet name="Lead" sheetId="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94" i="4" l="1"/>
  <c r="B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E264" i="4"/>
  <c r="B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E244" i="4"/>
  <c r="B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E224" i="4"/>
  <c r="B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E204" i="4"/>
  <c r="B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E114" i="4"/>
  <c r="B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A25" i="4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E24" i="4"/>
  <c r="D24" i="4"/>
  <c r="B24" i="4"/>
  <c r="D294" i="1"/>
  <c r="E294" i="1"/>
  <c r="B294" i="1"/>
  <c r="D264" i="1"/>
  <c r="B264" i="1"/>
  <c r="E264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6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45" i="1"/>
  <c r="D244" i="1"/>
  <c r="B244" i="1"/>
  <c r="E244" i="1"/>
  <c r="D224" i="1"/>
  <c r="E224" i="1"/>
  <c r="B224" i="1"/>
  <c r="D204" i="1"/>
  <c r="B204" i="1"/>
  <c r="E204" i="1"/>
  <c r="D114" i="1"/>
  <c r="D24" i="1"/>
  <c r="E114" i="1"/>
  <c r="B114" i="1"/>
  <c r="E24" i="1"/>
  <c r="B24" i="1"/>
  <c r="D275" i="4" a="1"/>
  <c r="D246" i="4" a="1"/>
  <c r="D241" i="4" a="1"/>
  <c r="D212" i="4" a="1"/>
  <c r="D183" i="4" a="1"/>
  <c r="D159" i="4" a="1"/>
  <c r="D135" i="4" a="1"/>
  <c r="D106" i="4" a="1"/>
  <c r="D82" i="4" a="1"/>
  <c r="D58" i="4" a="1"/>
  <c r="D34" i="4" a="1"/>
  <c r="D157" i="4" a="1"/>
  <c r="D205" i="4" a="1"/>
  <c r="D171" i="4" a="1"/>
  <c r="D190" i="4" a="1"/>
  <c r="D277" i="4" a="1"/>
  <c r="D185" i="4" a="1"/>
  <c r="D137" i="4" a="1"/>
  <c r="D74" i="4" a="1"/>
  <c r="D223" i="4" a="1"/>
  <c r="D270" i="4" a="1"/>
  <c r="D236" i="4" a="1"/>
  <c r="D207" i="4" a="1"/>
  <c r="D202" i="4" a="1"/>
  <c r="D178" i="4" a="1"/>
  <c r="D154" i="4" a="1"/>
  <c r="D130" i="4" a="1"/>
  <c r="D101" i="4" a="1"/>
  <c r="D77" i="4" a="1"/>
  <c r="D53" i="4" a="1"/>
  <c r="D29" i="4" a="1"/>
  <c r="D42" i="4" a="1"/>
  <c r="D104" i="4" a="1"/>
  <c r="D56" i="4" a="1"/>
  <c r="D200" i="4" a="1"/>
  <c r="D219" i="4" a="1"/>
  <c r="D113" i="4" a="1"/>
  <c r="D291" i="4" a="1"/>
  <c r="D286" i="4" a="1"/>
  <c r="D289" i="4" a="1"/>
  <c r="D265" i="4" a="1"/>
  <c r="D260" i="4" a="1"/>
  <c r="D231" i="4" a="1"/>
  <c r="D197" i="4" a="1"/>
  <c r="D173" i="4" a="1"/>
  <c r="D149" i="4" a="1"/>
  <c r="D125" i="4" a="1"/>
  <c r="D96" i="4" a="1"/>
  <c r="D72" i="4" a="1"/>
  <c r="D48" i="4" a="1"/>
  <c r="D90" i="4" a="1"/>
  <c r="D51" i="4" a="1"/>
  <c r="D258" i="4" a="1"/>
  <c r="D46" i="4" a="1"/>
  <c r="D282" i="4" a="1"/>
  <c r="D60" i="4" a="1"/>
  <c r="D79" i="4" a="1"/>
  <c r="D262" i="4" a="1"/>
  <c r="D127" i="4" a="1"/>
  <c r="D284" i="4" a="1"/>
  <c r="D255" i="4" a="1"/>
  <c r="D226" i="4" a="1"/>
  <c r="D221" i="4" a="1"/>
  <c r="D192" i="4" a="1"/>
  <c r="D168" i="4" a="1"/>
  <c r="D144" i="4" a="1"/>
  <c r="D120" i="4" a="1"/>
  <c r="D91" i="4" a="1"/>
  <c r="D67" i="4" a="1"/>
  <c r="D43" i="4" a="1"/>
  <c r="D234" i="4" a="1"/>
  <c r="D94" i="4" a="1"/>
  <c r="D89" i="4" a="1"/>
  <c r="D214" i="4" a="1"/>
  <c r="D272" i="4" a="1"/>
  <c r="D233" i="4" a="1"/>
  <c r="D175" i="4" a="1"/>
  <c r="D257" i="4" a="1"/>
  <c r="D279" i="4" a="1"/>
  <c r="D250" i="4" a="1"/>
  <c r="D216" i="4" a="1"/>
  <c r="D187" i="4" a="1"/>
  <c r="D163" i="4" a="1"/>
  <c r="D139" i="4" a="1"/>
  <c r="D115" i="4" a="1"/>
  <c r="D110" i="4" a="1"/>
  <c r="D86" i="4" a="1"/>
  <c r="D62" i="4" a="1"/>
  <c r="D38" i="4" a="1"/>
  <c r="D239" i="4" a="1"/>
  <c r="D133" i="4" a="1"/>
  <c r="D292" i="4" a="1"/>
  <c r="D229" i="4" a="1"/>
  <c r="D195" i="4" a="1"/>
  <c r="D123" i="4" a="1"/>
  <c r="D118" i="4" a="1"/>
  <c r="D65" i="4" a="1"/>
  <c r="D243" i="4" a="1"/>
  <c r="D108" i="4" a="1"/>
  <c r="D209" i="4" a="1"/>
  <c r="D132" i="4" a="1"/>
  <c r="D55" i="4" a="1"/>
  <c r="D151" i="4" a="1"/>
  <c r="D26" i="4" a="1"/>
  <c r="D274" i="4" a="1"/>
  <c r="D245" i="4" a="1"/>
  <c r="D240" i="4" a="1"/>
  <c r="D211" i="4" a="1"/>
  <c r="D182" i="4" a="1"/>
  <c r="D158" i="4" a="1"/>
  <c r="D134" i="4" a="1"/>
  <c r="D105" i="4" a="1"/>
  <c r="D81" i="4" a="1"/>
  <c r="D57" i="4" a="1"/>
  <c r="D33" i="4" a="1"/>
  <c r="D27" i="4" a="1"/>
  <c r="D147" i="4" a="1"/>
  <c r="D161" i="4" a="1"/>
  <c r="D180" i="4" a="1"/>
  <c r="D199" i="4" a="1"/>
  <c r="D98" i="4" a="1"/>
  <c r="D194" i="4" a="1"/>
  <c r="D293" i="4" a="1"/>
  <c r="D269" i="4" a="1"/>
  <c r="D235" i="4" a="1"/>
  <c r="D206" i="4" a="1"/>
  <c r="D201" i="4" a="1"/>
  <c r="D177" i="4" a="1"/>
  <c r="D153" i="4" a="1"/>
  <c r="D129" i="4" a="1"/>
  <c r="D100" i="4" a="1"/>
  <c r="D76" i="4" a="1"/>
  <c r="D52" i="4" a="1"/>
  <c r="D28" i="4" a="1"/>
  <c r="D66" i="4" a="1"/>
  <c r="D181" i="4" a="1"/>
  <c r="D80" i="4" a="1"/>
  <c r="D32" i="4" a="1"/>
  <c r="D263" i="4" a="1"/>
  <c r="D152" i="4" a="1"/>
  <c r="D99" i="4" a="1"/>
  <c r="D287" i="4" a="1"/>
  <c r="D103" i="4" a="1"/>
  <c r="D288" i="4" a="1"/>
  <c r="D259" i="4" a="1"/>
  <c r="D230" i="4" a="1"/>
  <c r="D196" i="4" a="1"/>
  <c r="D172" i="4" a="1"/>
  <c r="D148" i="4" a="1"/>
  <c r="D124" i="4" a="1"/>
  <c r="D95" i="4" a="1"/>
  <c r="D71" i="4" a="1"/>
  <c r="D47" i="4" a="1"/>
  <c r="D119" i="4" a="1"/>
  <c r="D210" i="4" a="1"/>
  <c r="D268" i="4" a="1"/>
  <c r="D75" i="4" a="1"/>
  <c r="D166" i="4" a="1"/>
  <c r="D84" i="4" a="1"/>
  <c r="D36" i="4" a="1"/>
  <c r="D156" i="4" a="1"/>
  <c r="D50" i="4" a="1"/>
  <c r="D170" i="4" a="1"/>
  <c r="D283" i="4" a="1"/>
  <c r="D254" i="4" a="1"/>
  <c r="D225" i="4" a="1"/>
  <c r="D220" i="4" a="1"/>
  <c r="D191" i="4" a="1"/>
  <c r="D167" i="4" a="1"/>
  <c r="D143" i="4" a="1"/>
  <c r="D70" i="4" a="1"/>
  <c r="D253" i="4" a="1"/>
  <c r="D41" i="4" a="1"/>
  <c r="D248" i="4" a="1"/>
  <c r="D238" i="4" a="1"/>
  <c r="D278" i="4" a="1"/>
  <c r="D249" i="4" a="1"/>
  <c r="D215" i="4" a="1"/>
  <c r="D186" i="4" a="1"/>
  <c r="D162" i="4" a="1"/>
  <c r="D138" i="4" a="1"/>
  <c r="D109" i="4" a="1"/>
  <c r="D85" i="4" a="1"/>
  <c r="D61" i="4" a="1"/>
  <c r="D37" i="4" a="1"/>
  <c r="D273" i="4" a="1"/>
  <c r="D176" i="4" a="1"/>
  <c r="D128" i="4" a="1"/>
  <c r="D142" i="4" a="1"/>
  <c r="D31" i="4" a="1"/>
  <c r="D267" i="4" a="1"/>
  <c r="D228" i="4" a="1"/>
  <c r="D146" i="4" a="1"/>
  <c r="D188" i="4" a="1"/>
  <c r="D164" i="4" a="1"/>
  <c r="D140" i="4" a="1"/>
  <c r="D92" i="4" a="1"/>
  <c r="D285" i="4" a="1"/>
  <c r="D63" i="4" a="1"/>
  <c r="D73" i="4" a="1"/>
  <c r="D276" i="4" a="1"/>
  <c r="D45" i="4" a="1"/>
  <c r="D68" i="4" a="1"/>
  <c r="D97" i="4" a="1"/>
  <c r="D40" i="4" a="1"/>
  <c r="D222" i="4" a="1"/>
  <c r="D83" i="4" a="1"/>
  <c r="D252" i="4" a="1"/>
  <c r="D122" i="4" a="1"/>
  <c r="D217" i="4" a="1"/>
  <c r="D88" i="4" a="1"/>
  <c r="D111" i="4" a="1"/>
  <c r="D155" i="4" a="1"/>
  <c r="D131" i="4" a="1"/>
  <c r="D198" i="4" a="1"/>
  <c r="D116" i="4" a="1"/>
  <c r="D93" i="4" a="1"/>
  <c r="D39" i="4" a="1"/>
  <c r="D102" i="4" a="1"/>
  <c r="D213" i="4" a="1"/>
  <c r="D237" i="4" a="1"/>
  <c r="D117" i="4" a="1"/>
  <c r="D280" i="4" a="1"/>
  <c r="D174" i="4" a="1"/>
  <c r="D150" i="4" a="1"/>
  <c r="D112" i="4" a="1"/>
  <c r="D193" i="4" a="1"/>
  <c r="D78" i="4" a="1"/>
  <c r="D179" i="4" a="1"/>
  <c r="D261" i="4" a="1"/>
  <c r="D141" i="4" a="1"/>
  <c r="D247" i="4" a="1"/>
  <c r="D30" i="4" a="1"/>
  <c r="D256" i="4" a="1"/>
  <c r="D208" i="4" a="1"/>
  <c r="D126" i="4" a="1"/>
  <c r="D49" i="4" a="1"/>
  <c r="D169" i="4" a="1"/>
  <c r="D121" i="4" a="1"/>
  <c r="D165" i="4" a="1"/>
  <c r="D271" i="4" a="1"/>
  <c r="D107" i="4" a="1"/>
  <c r="D232" i="4" a="1"/>
  <c r="D184" i="4" a="1"/>
  <c r="D160" i="4" a="1"/>
  <c r="D59" i="4" a="1"/>
  <c r="D227" i="4" a="1"/>
  <c r="D44" i="4" a="1"/>
  <c r="D218" i="4" a="1"/>
  <c r="D136" i="4" a="1"/>
  <c r="D69" i="4" a="1"/>
  <c r="D35" i="4" a="1"/>
  <c r="D145" i="4" a="1"/>
  <c r="D251" i="4" a="1"/>
  <c r="D203" i="4" a="1"/>
  <c r="D290" i="4" a="1"/>
  <c r="D266" i="4" a="1"/>
  <c r="D242" i="4" a="1"/>
  <c r="D54" i="4" a="1"/>
  <c r="D87" i="4" a="1"/>
  <c r="D25" i="4" a="1"/>
  <c r="D64" i="4" a="1"/>
  <c r="D189" i="4" a="1"/>
  <c r="D281" i="4" a="1"/>
  <c r="D265" i="1" a="1"/>
  <c r="D267" i="1" a="1"/>
  <c r="D275" i="1" a="1"/>
  <c r="D283" i="1" a="1"/>
  <c r="D291" i="1" a="1"/>
  <c r="D271" i="1" a="1"/>
  <c r="D288" i="1" a="1"/>
  <c r="D284" i="1" a="1"/>
  <c r="D293" i="1" a="1"/>
  <c r="D286" i="1" a="1"/>
  <c r="D280" i="1" a="1"/>
  <c r="D273" i="1" a="1"/>
  <c r="D290" i="1" a="1"/>
  <c r="D276" i="1" a="1"/>
  <c r="D292" i="1" a="1"/>
  <c r="D278" i="1" a="1"/>
  <c r="D279" i="1" a="1"/>
  <c r="D268" i="1" a="1"/>
  <c r="D285" i="1" a="1"/>
  <c r="D282" i="1" a="1"/>
  <c r="D277" i="1" a="1"/>
  <c r="D287" i="1" a="1"/>
  <c r="D274" i="1" a="1"/>
  <c r="D269" i="1" a="1"/>
  <c r="D270" i="1" a="1"/>
  <c r="D272" i="1" a="1"/>
  <c r="D289" i="1" a="1"/>
  <c r="D281" i="1" a="1"/>
  <c r="D266" i="1" a="1"/>
  <c r="D246" i="1" a="1"/>
  <c r="D254" i="1" a="1"/>
  <c r="D262" i="1" a="1"/>
  <c r="D247" i="1" a="1"/>
  <c r="D255" i="1" a="1"/>
  <c r="D263" i="1" a="1"/>
  <c r="D248" i="1" a="1"/>
  <c r="D256" i="1" a="1"/>
  <c r="D249" i="1" a="1"/>
  <c r="D257" i="1" a="1"/>
  <c r="D250" i="1" a="1"/>
  <c r="D258" i="1" a="1"/>
  <c r="D251" i="1" a="1"/>
  <c r="D259" i="1" a="1"/>
  <c r="D252" i="1" a="1"/>
  <c r="D260" i="1" a="1"/>
  <c r="D253" i="1" a="1"/>
  <c r="D261" i="1" a="1"/>
  <c r="D245" i="1" a="1"/>
  <c r="D226" i="1" a="1"/>
  <c r="D234" i="1" a="1"/>
  <c r="D242" i="1" a="1"/>
  <c r="D227" i="1" a="1"/>
  <c r="D235" i="1" a="1"/>
  <c r="D243" i="1" a="1"/>
  <c r="D228" i="1" a="1"/>
  <c r="D236" i="1" a="1"/>
  <c r="D229" i="1" a="1"/>
  <c r="D237" i="1" a="1"/>
  <c r="D230" i="1" a="1"/>
  <c r="D238" i="1" a="1"/>
  <c r="D231" i="1" a="1"/>
  <c r="D239" i="1" a="1"/>
  <c r="D232" i="1" a="1"/>
  <c r="D240" i="1" a="1"/>
  <c r="D233" i="1" a="1"/>
  <c r="D241" i="1" a="1"/>
  <c r="D225" i="1" a="1"/>
  <c r="D206" i="1" a="1"/>
  <c r="D214" i="1" a="1"/>
  <c r="D222" i="1" a="1"/>
  <c r="D221" i="1" a="1"/>
  <c r="D207" i="1" a="1"/>
  <c r="D218" i="1" a="1"/>
  <c r="D215" i="1" a="1"/>
  <c r="D210" i="1" a="1"/>
  <c r="D212" i="1" a="1"/>
  <c r="D223" i="1" a="1"/>
  <c r="D209" i="1" a="1"/>
  <c r="D208" i="1" a="1"/>
  <c r="D219" i="1" a="1"/>
  <c r="D220" i="1" a="1"/>
  <c r="D216" i="1" a="1"/>
  <c r="D211" i="1" a="1"/>
  <c r="D217" i="1" a="1"/>
  <c r="D213" i="1" a="1"/>
  <c r="D205" i="1" a="1"/>
  <c r="E281" i="4" l="1"/>
  <c r="D281" i="4"/>
  <c r="E189" i="4"/>
  <c r="D189" i="4"/>
  <c r="E64" i="4"/>
  <c r="D64" i="4"/>
  <c r="D25" i="4"/>
  <c r="E25" i="4"/>
  <c r="D87" i="4"/>
  <c r="E87" i="4"/>
  <c r="D54" i="4"/>
  <c r="E54" i="4"/>
  <c r="E242" i="4"/>
  <c r="D242" i="4"/>
  <c r="E266" i="4"/>
  <c r="D266" i="4"/>
  <c r="E290" i="4"/>
  <c r="D290" i="4"/>
  <c r="D203" i="4"/>
  <c r="E203" i="4"/>
  <c r="E251" i="4"/>
  <c r="D251" i="4"/>
  <c r="E145" i="4"/>
  <c r="D145" i="4"/>
  <c r="E35" i="4"/>
  <c r="D35" i="4"/>
  <c r="E69" i="4"/>
  <c r="D69" i="4"/>
  <c r="E136" i="4"/>
  <c r="D136" i="4"/>
  <c r="E218" i="4"/>
  <c r="D218" i="4"/>
  <c r="E44" i="4"/>
  <c r="D44" i="4"/>
  <c r="D227" i="4"/>
  <c r="E227" i="4"/>
  <c r="E59" i="4"/>
  <c r="D59" i="4"/>
  <c r="E160" i="4"/>
  <c r="D160" i="4"/>
  <c r="E184" i="4"/>
  <c r="D184" i="4"/>
  <c r="E232" i="4"/>
  <c r="D232" i="4"/>
  <c r="E107" i="4"/>
  <c r="D107" i="4"/>
  <c r="D271" i="4"/>
  <c r="E271" i="4"/>
  <c r="E165" i="4"/>
  <c r="D165" i="4"/>
  <c r="E121" i="4"/>
  <c r="D121" i="4"/>
  <c r="E169" i="4"/>
  <c r="D169" i="4"/>
  <c r="E49" i="4"/>
  <c r="D49" i="4"/>
  <c r="E126" i="4"/>
  <c r="D126" i="4"/>
  <c r="E208" i="4"/>
  <c r="D208" i="4"/>
  <c r="E256" i="4"/>
  <c r="D256" i="4"/>
  <c r="D30" i="4"/>
  <c r="E30" i="4"/>
  <c r="E247" i="4"/>
  <c r="D247" i="4"/>
  <c r="E141" i="4"/>
  <c r="D141" i="4"/>
  <c r="E261" i="4"/>
  <c r="D261" i="4"/>
  <c r="E179" i="4"/>
  <c r="D179" i="4"/>
  <c r="D78" i="4"/>
  <c r="E78" i="4"/>
  <c r="E193" i="4"/>
  <c r="D193" i="4"/>
  <c r="E112" i="4"/>
  <c r="D112" i="4"/>
  <c r="E150" i="4"/>
  <c r="D150" i="4"/>
  <c r="E174" i="4"/>
  <c r="D174" i="4"/>
  <c r="E280" i="4"/>
  <c r="D280" i="4"/>
  <c r="E117" i="4"/>
  <c r="D117" i="4"/>
  <c r="D237" i="4"/>
  <c r="E237" i="4"/>
  <c r="E213" i="4"/>
  <c r="D213" i="4"/>
  <c r="E102" i="4"/>
  <c r="D102" i="4"/>
  <c r="E39" i="4"/>
  <c r="D39" i="4"/>
  <c r="E93" i="4"/>
  <c r="D93" i="4"/>
  <c r="E116" i="4"/>
  <c r="D116" i="4"/>
  <c r="E198" i="4"/>
  <c r="D198" i="4"/>
  <c r="D131" i="4"/>
  <c r="E131" i="4"/>
  <c r="D155" i="4"/>
  <c r="E155" i="4"/>
  <c r="E111" i="4"/>
  <c r="D111" i="4"/>
  <c r="E88" i="4"/>
  <c r="D88" i="4"/>
  <c r="D217" i="4"/>
  <c r="E217" i="4"/>
  <c r="D122" i="4"/>
  <c r="E122" i="4"/>
  <c r="E252" i="4"/>
  <c r="D252" i="4"/>
  <c r="E83" i="4"/>
  <c r="D83" i="4"/>
  <c r="E222" i="4"/>
  <c r="D222" i="4"/>
  <c r="E40" i="4"/>
  <c r="D40" i="4"/>
  <c r="E97" i="4"/>
  <c r="D97" i="4"/>
  <c r="D68" i="4"/>
  <c r="E68" i="4"/>
  <c r="E45" i="4"/>
  <c r="D45" i="4"/>
  <c r="E276" i="4"/>
  <c r="D276" i="4"/>
  <c r="D73" i="4"/>
  <c r="E73" i="4"/>
  <c r="D63" i="4"/>
  <c r="E63" i="4"/>
  <c r="D285" i="4"/>
  <c r="E285" i="4"/>
  <c r="E92" i="4"/>
  <c r="D92" i="4"/>
  <c r="E140" i="4"/>
  <c r="D140" i="4"/>
  <c r="D164" i="4"/>
  <c r="E164" i="4"/>
  <c r="D188" i="4"/>
  <c r="E188" i="4"/>
  <c r="D146" i="4"/>
  <c r="E146" i="4"/>
  <c r="E228" i="4"/>
  <c r="D228" i="4"/>
  <c r="E267" i="4"/>
  <c r="D267" i="4"/>
  <c r="D31" i="4"/>
  <c r="E31" i="4"/>
  <c r="E142" i="4"/>
  <c r="D142" i="4"/>
  <c r="D128" i="4"/>
  <c r="E128" i="4"/>
  <c r="D176" i="4"/>
  <c r="E176" i="4"/>
  <c r="E273" i="4"/>
  <c r="D273" i="4"/>
  <c r="D37" i="4"/>
  <c r="E37" i="4"/>
  <c r="D61" i="4"/>
  <c r="E61" i="4"/>
  <c r="D85" i="4"/>
  <c r="E85" i="4"/>
  <c r="D109" i="4"/>
  <c r="E109" i="4"/>
  <c r="E138" i="4"/>
  <c r="D138" i="4"/>
  <c r="E162" i="4"/>
  <c r="D162" i="4"/>
  <c r="E186" i="4"/>
  <c r="D186" i="4"/>
  <c r="E215" i="4"/>
  <c r="D215" i="4"/>
  <c r="E249" i="4"/>
  <c r="D249" i="4"/>
  <c r="E278" i="4"/>
  <c r="D278" i="4"/>
  <c r="E238" i="4"/>
  <c r="D238" i="4"/>
  <c r="E248" i="4"/>
  <c r="D248" i="4"/>
  <c r="E41" i="4"/>
  <c r="D41" i="4"/>
  <c r="D253" i="4"/>
  <c r="E253" i="4"/>
  <c r="E70" i="4"/>
  <c r="D70" i="4"/>
  <c r="E143" i="4"/>
  <c r="D143" i="4"/>
  <c r="E167" i="4"/>
  <c r="D167" i="4"/>
  <c r="E191" i="4"/>
  <c r="D191" i="4"/>
  <c r="E220" i="4"/>
  <c r="D220" i="4"/>
  <c r="E225" i="4"/>
  <c r="D225" i="4"/>
  <c r="E254" i="4"/>
  <c r="D254" i="4"/>
  <c r="E283" i="4"/>
  <c r="D283" i="4"/>
  <c r="E170" i="4"/>
  <c r="D170" i="4"/>
  <c r="D50" i="4"/>
  <c r="E50" i="4"/>
  <c r="E156" i="4"/>
  <c r="D156" i="4"/>
  <c r="D36" i="4"/>
  <c r="E36" i="4"/>
  <c r="E84" i="4"/>
  <c r="D84" i="4"/>
  <c r="E166" i="4"/>
  <c r="D166" i="4"/>
  <c r="D75" i="4"/>
  <c r="E75" i="4"/>
  <c r="D268" i="4"/>
  <c r="E268" i="4"/>
  <c r="E210" i="4"/>
  <c r="D210" i="4"/>
  <c r="E119" i="4"/>
  <c r="D119" i="4"/>
  <c r="E47" i="4"/>
  <c r="D47" i="4"/>
  <c r="E71" i="4"/>
  <c r="D71" i="4"/>
  <c r="E95" i="4"/>
  <c r="D95" i="4"/>
  <c r="E124" i="4"/>
  <c r="D124" i="4"/>
  <c r="E148" i="4"/>
  <c r="D148" i="4"/>
  <c r="E172" i="4"/>
  <c r="D172" i="4"/>
  <c r="E196" i="4"/>
  <c r="D196" i="4"/>
  <c r="E230" i="4"/>
  <c r="D230" i="4"/>
  <c r="E259" i="4"/>
  <c r="D259" i="4"/>
  <c r="E288" i="4"/>
  <c r="D288" i="4"/>
  <c r="D103" i="4"/>
  <c r="E103" i="4"/>
  <c r="D287" i="4"/>
  <c r="E287" i="4"/>
  <c r="D99" i="4"/>
  <c r="E99" i="4"/>
  <c r="D152" i="4"/>
  <c r="E152" i="4"/>
  <c r="D263" i="4"/>
  <c r="E263" i="4"/>
  <c r="E32" i="4"/>
  <c r="D32" i="4"/>
  <c r="E80" i="4"/>
  <c r="D80" i="4"/>
  <c r="E181" i="4"/>
  <c r="D181" i="4"/>
  <c r="E66" i="4"/>
  <c r="D66" i="4"/>
  <c r="E28" i="4"/>
  <c r="D28" i="4"/>
  <c r="E52" i="4"/>
  <c r="D52" i="4"/>
  <c r="E76" i="4"/>
  <c r="D76" i="4"/>
  <c r="E100" i="4"/>
  <c r="D100" i="4"/>
  <c r="E129" i="4"/>
  <c r="D129" i="4"/>
  <c r="E153" i="4"/>
  <c r="D153" i="4"/>
  <c r="E177" i="4"/>
  <c r="D177" i="4"/>
  <c r="E201" i="4"/>
  <c r="D201" i="4"/>
  <c r="E206" i="4"/>
  <c r="D206" i="4"/>
  <c r="E235" i="4"/>
  <c r="D235" i="4"/>
  <c r="E269" i="4"/>
  <c r="D269" i="4"/>
  <c r="E293" i="4"/>
  <c r="D293" i="4"/>
  <c r="D194" i="4"/>
  <c r="E194" i="4"/>
  <c r="E98" i="4"/>
  <c r="D98" i="4"/>
  <c r="E199" i="4"/>
  <c r="D199" i="4"/>
  <c r="D180" i="4"/>
  <c r="E180" i="4"/>
  <c r="E161" i="4"/>
  <c r="D161" i="4"/>
  <c r="D147" i="4"/>
  <c r="E147" i="4"/>
  <c r="D27" i="4"/>
  <c r="E27" i="4"/>
  <c r="E33" i="4"/>
  <c r="D33" i="4"/>
  <c r="E57" i="4"/>
  <c r="D57" i="4"/>
  <c r="E81" i="4"/>
  <c r="D81" i="4"/>
  <c r="E105" i="4"/>
  <c r="D105" i="4"/>
  <c r="E134" i="4"/>
  <c r="D134" i="4"/>
  <c r="E158" i="4"/>
  <c r="D158" i="4"/>
  <c r="E182" i="4"/>
  <c r="D182" i="4"/>
  <c r="E211" i="4"/>
  <c r="D211" i="4"/>
  <c r="E240" i="4"/>
  <c r="D240" i="4"/>
  <c r="E245" i="4"/>
  <c r="D245" i="4"/>
  <c r="E274" i="4"/>
  <c r="D274" i="4"/>
  <c r="E26" i="4"/>
  <c r="D26" i="4"/>
  <c r="D151" i="4"/>
  <c r="E151" i="4"/>
  <c r="D55" i="4"/>
  <c r="E55" i="4"/>
  <c r="D132" i="4"/>
  <c r="E132" i="4"/>
  <c r="E209" i="4"/>
  <c r="D209" i="4"/>
  <c r="E108" i="4"/>
  <c r="D108" i="4"/>
  <c r="D243" i="4"/>
  <c r="E243" i="4"/>
  <c r="E65" i="4"/>
  <c r="D65" i="4"/>
  <c r="E118" i="4"/>
  <c r="D118" i="4"/>
  <c r="E123" i="4"/>
  <c r="D123" i="4"/>
  <c r="E195" i="4"/>
  <c r="D195" i="4"/>
  <c r="D229" i="4"/>
  <c r="E229" i="4"/>
  <c r="E292" i="4"/>
  <c r="D292" i="4"/>
  <c r="E133" i="4"/>
  <c r="D133" i="4"/>
  <c r="E239" i="4"/>
  <c r="D239" i="4"/>
  <c r="E38" i="4"/>
  <c r="D38" i="4"/>
  <c r="E62" i="4"/>
  <c r="D62" i="4"/>
  <c r="E86" i="4"/>
  <c r="D86" i="4"/>
  <c r="E110" i="4"/>
  <c r="D110" i="4"/>
  <c r="E115" i="4"/>
  <c r="D115" i="4"/>
  <c r="E139" i="4"/>
  <c r="D139" i="4"/>
  <c r="E163" i="4"/>
  <c r="D163" i="4"/>
  <c r="E187" i="4"/>
  <c r="D187" i="4"/>
  <c r="E216" i="4"/>
  <c r="D216" i="4"/>
  <c r="E250" i="4"/>
  <c r="D250" i="4"/>
  <c r="E279" i="4"/>
  <c r="D279" i="4"/>
  <c r="D257" i="4"/>
  <c r="E257" i="4"/>
  <c r="E175" i="4"/>
  <c r="D175" i="4"/>
  <c r="E233" i="4"/>
  <c r="D233" i="4"/>
  <c r="D272" i="4"/>
  <c r="E272" i="4"/>
  <c r="E214" i="4"/>
  <c r="D214" i="4"/>
  <c r="E89" i="4"/>
  <c r="D89" i="4"/>
  <c r="D94" i="4"/>
  <c r="E94" i="4"/>
  <c r="D234" i="4"/>
  <c r="E234" i="4"/>
  <c r="E43" i="4"/>
  <c r="D43" i="4"/>
  <c r="E67" i="4"/>
  <c r="D67" i="4"/>
  <c r="E91" i="4"/>
  <c r="D91" i="4"/>
  <c r="E120" i="4"/>
  <c r="D120" i="4"/>
  <c r="E144" i="4"/>
  <c r="D144" i="4"/>
  <c r="E168" i="4"/>
  <c r="D168" i="4"/>
  <c r="E192" i="4"/>
  <c r="D192" i="4"/>
  <c r="E221" i="4"/>
  <c r="D221" i="4"/>
  <c r="E226" i="4"/>
  <c r="D226" i="4"/>
  <c r="E255" i="4"/>
  <c r="D255" i="4"/>
  <c r="E284" i="4"/>
  <c r="D284" i="4"/>
  <c r="E127" i="4"/>
  <c r="D127" i="4"/>
  <c r="D262" i="4"/>
  <c r="E262" i="4"/>
  <c r="D79" i="4"/>
  <c r="E79" i="4"/>
  <c r="D60" i="4"/>
  <c r="E60" i="4"/>
  <c r="E282" i="4"/>
  <c r="D282" i="4"/>
  <c r="E46" i="4"/>
  <c r="D46" i="4"/>
  <c r="E258" i="4"/>
  <c r="D258" i="4"/>
  <c r="D51" i="4"/>
  <c r="E51" i="4"/>
  <c r="E90" i="4"/>
  <c r="D90" i="4"/>
  <c r="E48" i="4"/>
  <c r="D48" i="4"/>
  <c r="E72" i="4"/>
  <c r="D72" i="4"/>
  <c r="E96" i="4"/>
  <c r="D96" i="4"/>
  <c r="E125" i="4"/>
  <c r="D125" i="4"/>
  <c r="E149" i="4"/>
  <c r="D149" i="4"/>
  <c r="E173" i="4"/>
  <c r="D173" i="4"/>
  <c r="E197" i="4"/>
  <c r="D197" i="4"/>
  <c r="E231" i="4"/>
  <c r="D231" i="4"/>
  <c r="E260" i="4"/>
  <c r="D260" i="4"/>
  <c r="E265" i="4"/>
  <c r="D265" i="4"/>
  <c r="E289" i="4"/>
  <c r="D289" i="4"/>
  <c r="E286" i="4"/>
  <c r="D286" i="4"/>
  <c r="E291" i="4"/>
  <c r="D291" i="4"/>
  <c r="E113" i="4"/>
  <c r="D113" i="4"/>
  <c r="E219" i="4"/>
  <c r="D219" i="4"/>
  <c r="D200" i="4"/>
  <c r="E200" i="4"/>
  <c r="E56" i="4"/>
  <c r="D56" i="4"/>
  <c r="E104" i="4"/>
  <c r="D104" i="4"/>
  <c r="E42" i="4"/>
  <c r="D42" i="4"/>
  <c r="D29" i="4"/>
  <c r="E29" i="4"/>
  <c r="D53" i="4"/>
  <c r="E53" i="4"/>
  <c r="D77" i="4"/>
  <c r="E77" i="4"/>
  <c r="D101" i="4"/>
  <c r="E101" i="4"/>
  <c r="D130" i="4"/>
  <c r="E130" i="4"/>
  <c r="D154" i="4"/>
  <c r="E154" i="4"/>
  <c r="D178" i="4"/>
  <c r="E178" i="4"/>
  <c r="D202" i="4"/>
  <c r="E202" i="4"/>
  <c r="D207" i="4"/>
  <c r="E207" i="4"/>
  <c r="D236" i="4"/>
  <c r="E236" i="4"/>
  <c r="D270" i="4"/>
  <c r="E270" i="4"/>
  <c r="D223" i="4"/>
  <c r="E223" i="4"/>
  <c r="E74" i="4"/>
  <c r="D74" i="4"/>
  <c r="D137" i="4"/>
  <c r="E137" i="4"/>
  <c r="E185" i="4"/>
  <c r="D185" i="4"/>
  <c r="E277" i="4"/>
  <c r="D277" i="4"/>
  <c r="E190" i="4"/>
  <c r="D190" i="4"/>
  <c r="E171" i="4"/>
  <c r="D171" i="4"/>
  <c r="D205" i="4"/>
  <c r="E205" i="4"/>
  <c r="E157" i="4"/>
  <c r="D157" i="4"/>
  <c r="E34" i="4"/>
  <c r="D34" i="4"/>
  <c r="D58" i="4"/>
  <c r="E58" i="4"/>
  <c r="E82" i="4"/>
  <c r="D82" i="4"/>
  <c r="E106" i="4"/>
  <c r="D106" i="4"/>
  <c r="D135" i="4"/>
  <c r="E135" i="4"/>
  <c r="D159" i="4"/>
  <c r="E159" i="4"/>
  <c r="D183" i="4"/>
  <c r="E183" i="4"/>
  <c r="E212" i="4"/>
  <c r="D212" i="4"/>
  <c r="E241" i="4"/>
  <c r="D241" i="4"/>
  <c r="E246" i="4"/>
  <c r="D246" i="4"/>
  <c r="D275" i="4"/>
  <c r="E275" i="4"/>
  <c r="D114" i="4"/>
  <c r="A115" i="4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E265" i="1"/>
  <c r="D265" i="1"/>
  <c r="D281" i="1"/>
  <c r="E281" i="1"/>
  <c r="E289" i="1"/>
  <c r="D289" i="1"/>
  <c r="E272" i="1"/>
  <c r="D272" i="1"/>
  <c r="E270" i="1"/>
  <c r="D270" i="1"/>
  <c r="D269" i="1"/>
  <c r="E269" i="1"/>
  <c r="E274" i="1"/>
  <c r="D274" i="1"/>
  <c r="D287" i="1"/>
  <c r="E287" i="1"/>
  <c r="D277" i="1"/>
  <c r="E277" i="1"/>
  <c r="E282" i="1"/>
  <c r="D282" i="1"/>
  <c r="D285" i="1"/>
  <c r="E285" i="1"/>
  <c r="D268" i="1"/>
  <c r="E268" i="1"/>
  <c r="D279" i="1"/>
  <c r="E279" i="1"/>
  <c r="D278" i="1"/>
  <c r="E278" i="1"/>
  <c r="D292" i="1"/>
  <c r="E292" i="1"/>
  <c r="D276" i="1"/>
  <c r="E276" i="1"/>
  <c r="D290" i="1"/>
  <c r="E290" i="1"/>
  <c r="E273" i="1"/>
  <c r="D273" i="1"/>
  <c r="E280" i="1"/>
  <c r="D280" i="1"/>
  <c r="D286" i="1"/>
  <c r="E286" i="1"/>
  <c r="D293" i="1"/>
  <c r="E293" i="1"/>
  <c r="D284" i="1"/>
  <c r="E284" i="1"/>
  <c r="D288" i="1"/>
  <c r="E288" i="1"/>
  <c r="D271" i="1"/>
  <c r="E271" i="1"/>
  <c r="D291" i="1"/>
  <c r="E291" i="1"/>
  <c r="D283" i="1"/>
  <c r="E283" i="1"/>
  <c r="D275" i="1"/>
  <c r="E275" i="1"/>
  <c r="D267" i="1"/>
  <c r="E267" i="1"/>
  <c r="D266" i="1"/>
  <c r="E266" i="1"/>
  <c r="D261" i="1"/>
  <c r="E261" i="1"/>
  <c r="D253" i="1"/>
  <c r="E253" i="1"/>
  <c r="D260" i="1"/>
  <c r="E260" i="1"/>
  <c r="D252" i="1"/>
  <c r="E252" i="1"/>
  <c r="D259" i="1"/>
  <c r="E259" i="1"/>
  <c r="D251" i="1"/>
  <c r="E251" i="1"/>
  <c r="D258" i="1"/>
  <c r="E258" i="1"/>
  <c r="D250" i="1"/>
  <c r="E250" i="1"/>
  <c r="D257" i="1"/>
  <c r="E257" i="1"/>
  <c r="D249" i="1"/>
  <c r="E249" i="1"/>
  <c r="D256" i="1"/>
  <c r="E256" i="1"/>
  <c r="D248" i="1"/>
  <c r="E248" i="1"/>
  <c r="D263" i="1"/>
  <c r="E263" i="1"/>
  <c r="D255" i="1"/>
  <c r="E255" i="1"/>
  <c r="D247" i="1"/>
  <c r="E247" i="1"/>
  <c r="D262" i="1"/>
  <c r="E262" i="1"/>
  <c r="D254" i="1"/>
  <c r="E254" i="1"/>
  <c r="D246" i="1"/>
  <c r="E246" i="1"/>
  <c r="D245" i="1"/>
  <c r="E245" i="1"/>
  <c r="D241" i="1"/>
  <c r="E241" i="1"/>
  <c r="D233" i="1"/>
  <c r="E233" i="1"/>
  <c r="D240" i="1"/>
  <c r="E240" i="1"/>
  <c r="D232" i="1"/>
  <c r="E232" i="1"/>
  <c r="D239" i="1"/>
  <c r="E239" i="1"/>
  <c r="D231" i="1"/>
  <c r="E231" i="1"/>
  <c r="D238" i="1"/>
  <c r="E238" i="1"/>
  <c r="D230" i="1"/>
  <c r="E230" i="1"/>
  <c r="D237" i="1"/>
  <c r="E237" i="1"/>
  <c r="D229" i="1"/>
  <c r="E229" i="1"/>
  <c r="D236" i="1"/>
  <c r="E236" i="1"/>
  <c r="D228" i="1"/>
  <c r="E228" i="1"/>
  <c r="D243" i="1"/>
  <c r="E243" i="1"/>
  <c r="D235" i="1"/>
  <c r="E235" i="1"/>
  <c r="D227" i="1"/>
  <c r="E227" i="1"/>
  <c r="D242" i="1"/>
  <c r="E242" i="1"/>
  <c r="D234" i="1"/>
  <c r="E234" i="1"/>
  <c r="D226" i="1"/>
  <c r="E226" i="1"/>
  <c r="D225" i="1"/>
  <c r="E225" i="1"/>
  <c r="D213" i="1"/>
  <c r="E213" i="1"/>
  <c r="D217" i="1"/>
  <c r="E217" i="1"/>
  <c r="D211" i="1"/>
  <c r="E211" i="1"/>
  <c r="D216" i="1"/>
  <c r="E216" i="1"/>
  <c r="E220" i="1"/>
  <c r="D220" i="1"/>
  <c r="D219" i="1"/>
  <c r="E219" i="1"/>
  <c r="D208" i="1"/>
  <c r="E208" i="1"/>
  <c r="E209" i="1"/>
  <c r="D209" i="1"/>
  <c r="D223" i="1"/>
  <c r="E223" i="1"/>
  <c r="D212" i="1"/>
  <c r="E212" i="1"/>
  <c r="D210" i="1"/>
  <c r="E210" i="1"/>
  <c r="D215" i="1"/>
  <c r="E215" i="1"/>
  <c r="D218" i="1"/>
  <c r="E218" i="1"/>
  <c r="D207" i="1"/>
  <c r="E207" i="1"/>
  <c r="E221" i="1"/>
  <c r="D221" i="1"/>
  <c r="D222" i="1"/>
  <c r="E222" i="1"/>
  <c r="D214" i="1"/>
  <c r="E214" i="1"/>
  <c r="D206" i="1"/>
  <c r="E206" i="1"/>
  <c r="E205" i="1"/>
  <c r="D205" i="1"/>
  <c r="D199" i="1" a="1"/>
  <c r="A205" i="4" l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D204" i="4"/>
  <c r="D199" i="1"/>
  <c r="E199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2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05" i="1"/>
  <c r="D224" i="4" l="1"/>
  <c r="A225" i="4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04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11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25" i="1"/>
  <c r="A294" i="1"/>
  <c r="A30" i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6" i="1"/>
  <c r="A27" i="1"/>
  <c r="A28" i="1"/>
  <c r="A29" i="1"/>
  <c r="A25" i="1"/>
  <c r="D56" i="1" a="1"/>
  <c r="D35" i="1" a="1"/>
  <c r="D103" i="1" a="1"/>
  <c r="D26" i="1" a="1"/>
  <c r="D44" i="1" a="1"/>
  <c r="D31" i="1" a="1"/>
  <c r="D52" i="1" a="1"/>
  <c r="D100" i="1" a="1"/>
  <c r="D106" i="1" a="1"/>
  <c r="D67" i="1" a="1"/>
  <c r="D70" i="1" a="1"/>
  <c r="D34" i="1" a="1"/>
  <c r="D79" i="1" a="1"/>
  <c r="D96" i="1" a="1"/>
  <c r="D102" i="1" a="1"/>
  <c r="D85" i="1" a="1"/>
  <c r="D49" i="1" a="1"/>
  <c r="D61" i="1" a="1"/>
  <c r="D55" i="1" a="1"/>
  <c r="D28" i="1" a="1"/>
  <c r="D45" i="1" a="1"/>
  <c r="D86" i="1" a="1"/>
  <c r="D93" i="1" a="1"/>
  <c r="D101" i="1" a="1"/>
  <c r="D42" i="1" a="1"/>
  <c r="D83" i="1" a="1"/>
  <c r="D87" i="1" a="1"/>
  <c r="D50" i="1" a="1"/>
  <c r="D53" i="1" a="1"/>
  <c r="D43" i="1" a="1"/>
  <c r="D66" i="1" a="1"/>
  <c r="D78" i="1" a="1"/>
  <c r="D25" i="1" a="1"/>
  <c r="D110" i="1" a="1"/>
  <c r="D40" i="1" a="1"/>
  <c r="D75" i="1" a="1"/>
  <c r="D73" i="1" a="1"/>
  <c r="D39" i="1" a="1"/>
  <c r="D97" i="1" a="1"/>
  <c r="D104" i="1" a="1"/>
  <c r="D91" i="1" a="1"/>
  <c r="D90" i="1" a="1"/>
  <c r="D30" i="1" a="1"/>
  <c r="D47" i="1" a="1"/>
  <c r="D84" i="1" a="1"/>
  <c r="D88" i="1" a="1"/>
  <c r="D65" i="1" a="1"/>
  <c r="D109" i="1" a="1"/>
  <c r="D81" i="1" a="1"/>
  <c r="D41" i="1" a="1"/>
  <c r="D29" i="1" a="1"/>
  <c r="D62" i="1" a="1"/>
  <c r="D111" i="1" a="1"/>
  <c r="D27" i="1" a="1"/>
  <c r="D64" i="1" a="1"/>
  <c r="D80" i="1" a="1"/>
  <c r="D46" i="1" a="1"/>
  <c r="D77" i="1" a="1"/>
  <c r="D58" i="1" a="1"/>
  <c r="D89" i="1" a="1"/>
  <c r="D95" i="1" a="1"/>
  <c r="D59" i="1" a="1"/>
  <c r="D99" i="1" a="1"/>
  <c r="D63" i="1" a="1"/>
  <c r="D38" i="1" a="1"/>
  <c r="D72" i="1" a="1"/>
  <c r="D74" i="1" a="1"/>
  <c r="D112" i="1" a="1"/>
  <c r="D94" i="1" a="1"/>
  <c r="D48" i="1" a="1"/>
  <c r="D98" i="1" a="1"/>
  <c r="D32" i="1" a="1"/>
  <c r="D51" i="1" a="1"/>
  <c r="D54" i="1" a="1"/>
  <c r="D60" i="1" a="1"/>
  <c r="D82" i="1" a="1"/>
  <c r="D37" i="1" a="1"/>
  <c r="D71" i="1" a="1"/>
  <c r="D33" i="1" a="1"/>
  <c r="D68" i="1" a="1"/>
  <c r="D92" i="1" a="1"/>
  <c r="D105" i="1" a="1"/>
  <c r="D69" i="1" a="1"/>
  <c r="D113" i="1" a="1"/>
  <c r="D108" i="1" a="1"/>
  <c r="D57" i="1" a="1"/>
  <c r="D76" i="1" a="1"/>
  <c r="D107" i="1" a="1"/>
  <c r="D36" i="1" a="1"/>
  <c r="D203" i="1" a="1"/>
  <c r="D116" i="1" a="1"/>
  <c r="D124" i="1" a="1"/>
  <c r="D132" i="1" a="1"/>
  <c r="D140" i="1" a="1"/>
  <c r="D148" i="1" a="1"/>
  <c r="D156" i="1" a="1"/>
  <c r="D164" i="1" a="1"/>
  <c r="D172" i="1" a="1"/>
  <c r="D180" i="1" a="1"/>
  <c r="D188" i="1" a="1"/>
  <c r="D196" i="1" a="1"/>
  <c r="D173" i="1" a="1"/>
  <c r="D189" i="1" a="1"/>
  <c r="D118" i="1" a="1"/>
  <c r="D142" i="1" a="1"/>
  <c r="D158" i="1" a="1"/>
  <c r="D174" i="1" a="1"/>
  <c r="D190" i="1" a="1"/>
  <c r="D119" i="1" a="1"/>
  <c r="D135" i="1" a="1"/>
  <c r="D159" i="1" a="1"/>
  <c r="D183" i="1" a="1"/>
  <c r="D136" i="1" a="1"/>
  <c r="D144" i="1" a="1"/>
  <c r="D160" i="1" a="1"/>
  <c r="D184" i="1" a="1"/>
  <c r="D200" i="1" a="1"/>
  <c r="D129" i="1" a="1"/>
  <c r="D145" i="1" a="1"/>
  <c r="D169" i="1" a="1"/>
  <c r="D193" i="1" a="1"/>
  <c r="D117" i="1" a="1"/>
  <c r="D125" i="1" a="1"/>
  <c r="D133" i="1" a="1"/>
  <c r="D141" i="1" a="1"/>
  <c r="D149" i="1" a="1"/>
  <c r="D157" i="1" a="1"/>
  <c r="D165" i="1" a="1"/>
  <c r="D181" i="1" a="1"/>
  <c r="D197" i="1" a="1"/>
  <c r="D126" i="1" a="1"/>
  <c r="D134" i="1" a="1"/>
  <c r="D150" i="1" a="1"/>
  <c r="D166" i="1" a="1"/>
  <c r="D182" i="1" a="1"/>
  <c r="D198" i="1" a="1"/>
  <c r="D127" i="1" a="1"/>
  <c r="D143" i="1" a="1"/>
  <c r="D167" i="1" a="1"/>
  <c r="D175" i="1" a="1"/>
  <c r="D191" i="1" a="1"/>
  <c r="D128" i="1" a="1"/>
  <c r="D152" i="1" a="1"/>
  <c r="D168" i="1" a="1"/>
  <c r="D192" i="1" a="1"/>
  <c r="D137" i="1" a="1"/>
  <c r="D153" i="1" a="1"/>
  <c r="D177" i="1" a="1"/>
  <c r="D201" i="1" a="1"/>
  <c r="D151" i="1" a="1"/>
  <c r="D120" i="1" a="1"/>
  <c r="D176" i="1" a="1"/>
  <c r="D121" i="1" a="1"/>
  <c r="D161" i="1" a="1"/>
  <c r="D185" i="1" a="1"/>
  <c r="D170" i="1" a="1"/>
  <c r="D123" i="1" a="1"/>
  <c r="D195" i="1" a="1"/>
  <c r="D154" i="1" a="1"/>
  <c r="D202" i="1" a="1"/>
  <c r="D179" i="1" a="1"/>
  <c r="D138" i="1" a="1"/>
  <c r="D139" i="1" a="1"/>
  <c r="D122" i="1" a="1"/>
  <c r="D146" i="1" a="1"/>
  <c r="D194" i="1" a="1"/>
  <c r="D171" i="1" a="1"/>
  <c r="D130" i="1" a="1"/>
  <c r="D155" i="1" a="1"/>
  <c r="D162" i="1" a="1"/>
  <c r="D187" i="1" a="1"/>
  <c r="D147" i="1" a="1"/>
  <c r="D178" i="1" a="1"/>
  <c r="D131" i="1" a="1"/>
  <c r="D186" i="1" a="1"/>
  <c r="D163" i="1" a="1"/>
  <c r="D115" i="1" a="1"/>
  <c r="A245" i="4" l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D244" i="4"/>
  <c r="D203" i="1"/>
  <c r="E203" i="1"/>
  <c r="D163" i="1"/>
  <c r="E163" i="1"/>
  <c r="D186" i="1"/>
  <c r="E186" i="1"/>
  <c r="D131" i="1"/>
  <c r="E131" i="1"/>
  <c r="D178" i="1"/>
  <c r="E178" i="1"/>
  <c r="D147" i="1"/>
  <c r="E147" i="1"/>
  <c r="E187" i="1"/>
  <c r="D187" i="1"/>
  <c r="D162" i="1"/>
  <c r="E162" i="1"/>
  <c r="D155" i="1"/>
  <c r="E155" i="1"/>
  <c r="E130" i="1"/>
  <c r="D130" i="1"/>
  <c r="D171" i="1"/>
  <c r="E171" i="1"/>
  <c r="E194" i="1"/>
  <c r="D194" i="1"/>
  <c r="D146" i="1"/>
  <c r="E146" i="1"/>
  <c r="D122" i="1"/>
  <c r="E122" i="1"/>
  <c r="D139" i="1"/>
  <c r="E139" i="1"/>
  <c r="E138" i="1"/>
  <c r="D138" i="1"/>
  <c r="E179" i="1"/>
  <c r="D179" i="1"/>
  <c r="D202" i="1"/>
  <c r="E202" i="1"/>
  <c r="D154" i="1"/>
  <c r="E154" i="1"/>
  <c r="D195" i="1"/>
  <c r="E195" i="1"/>
  <c r="E123" i="1"/>
  <c r="D123" i="1"/>
  <c r="D170" i="1"/>
  <c r="E170" i="1"/>
  <c r="E185" i="1"/>
  <c r="D185" i="1"/>
  <c r="D161" i="1"/>
  <c r="E161" i="1"/>
  <c r="D121" i="1"/>
  <c r="E121" i="1"/>
  <c r="E176" i="1"/>
  <c r="D176" i="1"/>
  <c r="D120" i="1"/>
  <c r="E120" i="1"/>
  <c r="D151" i="1"/>
  <c r="E151" i="1"/>
  <c r="D201" i="1"/>
  <c r="E201" i="1"/>
  <c r="E177" i="1"/>
  <c r="D177" i="1"/>
  <c r="D153" i="1"/>
  <c r="E153" i="1"/>
  <c r="D137" i="1"/>
  <c r="E137" i="1"/>
  <c r="D192" i="1"/>
  <c r="E192" i="1"/>
  <c r="D168" i="1"/>
  <c r="E168" i="1"/>
  <c r="E152" i="1"/>
  <c r="D152" i="1"/>
  <c r="D128" i="1"/>
  <c r="E128" i="1"/>
  <c r="E191" i="1"/>
  <c r="D191" i="1"/>
  <c r="D175" i="1"/>
  <c r="E175" i="1"/>
  <c r="D167" i="1"/>
  <c r="E167" i="1"/>
  <c r="D143" i="1"/>
  <c r="E143" i="1"/>
  <c r="D127" i="1"/>
  <c r="E127" i="1"/>
  <c r="D198" i="1"/>
  <c r="E198" i="1"/>
  <c r="D182" i="1"/>
  <c r="E182" i="1"/>
  <c r="D166" i="1"/>
  <c r="E166" i="1"/>
  <c r="E150" i="1"/>
  <c r="D150" i="1"/>
  <c r="D134" i="1"/>
  <c r="E134" i="1"/>
  <c r="E126" i="1"/>
  <c r="D126" i="1"/>
  <c r="E197" i="1"/>
  <c r="D197" i="1"/>
  <c r="E181" i="1"/>
  <c r="D181" i="1"/>
  <c r="D165" i="1"/>
  <c r="E165" i="1"/>
  <c r="D157" i="1"/>
  <c r="E157" i="1"/>
  <c r="D149" i="1"/>
  <c r="E149" i="1"/>
  <c r="D141" i="1"/>
  <c r="E141" i="1"/>
  <c r="E133" i="1"/>
  <c r="D133" i="1"/>
  <c r="D125" i="1"/>
  <c r="E125" i="1"/>
  <c r="D117" i="1"/>
  <c r="E117" i="1"/>
  <c r="E193" i="1"/>
  <c r="D193" i="1"/>
  <c r="E169" i="1"/>
  <c r="D169" i="1"/>
  <c r="E145" i="1"/>
  <c r="D145" i="1"/>
  <c r="E129" i="1"/>
  <c r="D129" i="1"/>
  <c r="D200" i="1"/>
  <c r="E200" i="1"/>
  <c r="D184" i="1"/>
  <c r="E184" i="1"/>
  <c r="D160" i="1"/>
  <c r="E160" i="1"/>
  <c r="D144" i="1"/>
  <c r="E144" i="1"/>
  <c r="D136" i="1"/>
  <c r="E136" i="1"/>
  <c r="D183" i="1"/>
  <c r="E183" i="1"/>
  <c r="D159" i="1"/>
  <c r="E159" i="1"/>
  <c r="D135" i="1"/>
  <c r="E135" i="1"/>
  <c r="D119" i="1"/>
  <c r="E119" i="1"/>
  <c r="E190" i="1"/>
  <c r="D190" i="1"/>
  <c r="E174" i="1"/>
  <c r="D174" i="1"/>
  <c r="D158" i="1"/>
  <c r="E158" i="1"/>
  <c r="D142" i="1"/>
  <c r="E142" i="1"/>
  <c r="D118" i="1"/>
  <c r="E118" i="1"/>
  <c r="D189" i="1"/>
  <c r="E189" i="1"/>
  <c r="D173" i="1"/>
  <c r="E173" i="1"/>
  <c r="D196" i="1"/>
  <c r="E196" i="1"/>
  <c r="D188" i="1"/>
  <c r="E188" i="1"/>
  <c r="D180" i="1"/>
  <c r="E180" i="1"/>
  <c r="D172" i="1"/>
  <c r="E172" i="1"/>
  <c r="D164" i="1"/>
  <c r="E164" i="1"/>
  <c r="D156" i="1"/>
  <c r="E156" i="1"/>
  <c r="D148" i="1"/>
  <c r="E148" i="1"/>
  <c r="D140" i="1"/>
  <c r="E140" i="1"/>
  <c r="D132" i="1"/>
  <c r="E132" i="1"/>
  <c r="D124" i="1"/>
  <c r="E124" i="1"/>
  <c r="D116" i="1"/>
  <c r="E116" i="1"/>
  <c r="D115" i="1"/>
  <c r="E115" i="1"/>
  <c r="D107" i="1"/>
  <c r="E107" i="1"/>
  <c r="D105" i="1"/>
  <c r="E105" i="1"/>
  <c r="D104" i="1"/>
  <c r="E104" i="1"/>
  <c r="D110" i="1"/>
  <c r="E110" i="1"/>
  <c r="D101" i="1"/>
  <c r="E101" i="1"/>
  <c r="E106" i="1"/>
  <c r="D106" i="1"/>
  <c r="E113" i="1"/>
  <c r="D113" i="1"/>
  <c r="D112" i="1"/>
  <c r="E112" i="1"/>
  <c r="E111" i="1"/>
  <c r="D111" i="1"/>
  <c r="D102" i="1"/>
  <c r="E102" i="1"/>
  <c r="D109" i="1"/>
  <c r="E109" i="1"/>
  <c r="E103" i="1"/>
  <c r="D103" i="1"/>
  <c r="D108" i="1"/>
  <c r="E108" i="1"/>
  <c r="D100" i="1"/>
  <c r="E100" i="1"/>
  <c r="D98" i="1"/>
  <c r="E98" i="1"/>
  <c r="D90" i="1"/>
  <c r="E90" i="1"/>
  <c r="D82" i="1"/>
  <c r="E82" i="1"/>
  <c r="D74" i="1"/>
  <c r="E74" i="1"/>
  <c r="D97" i="1"/>
  <c r="E97" i="1"/>
  <c r="D89" i="1"/>
  <c r="E89" i="1"/>
  <c r="D81" i="1"/>
  <c r="E81" i="1"/>
  <c r="D73" i="1"/>
  <c r="E73" i="1"/>
  <c r="D96" i="1"/>
  <c r="E96" i="1"/>
  <c r="D88" i="1"/>
  <c r="E88" i="1"/>
  <c r="D80" i="1"/>
  <c r="E80" i="1"/>
  <c r="D72" i="1"/>
  <c r="E72" i="1"/>
  <c r="D95" i="1"/>
  <c r="E95" i="1"/>
  <c r="D87" i="1"/>
  <c r="E87" i="1"/>
  <c r="D79" i="1"/>
  <c r="E79" i="1"/>
  <c r="D71" i="1"/>
  <c r="E71" i="1"/>
  <c r="D94" i="1"/>
  <c r="E94" i="1"/>
  <c r="D86" i="1"/>
  <c r="E86" i="1"/>
  <c r="D78" i="1"/>
  <c r="E78" i="1"/>
  <c r="D70" i="1"/>
  <c r="E70" i="1"/>
  <c r="D93" i="1"/>
  <c r="E93" i="1"/>
  <c r="D85" i="1"/>
  <c r="E85" i="1"/>
  <c r="D77" i="1"/>
  <c r="E77" i="1"/>
  <c r="D69" i="1"/>
  <c r="E69" i="1"/>
  <c r="D92" i="1"/>
  <c r="E92" i="1"/>
  <c r="D84" i="1"/>
  <c r="E84" i="1"/>
  <c r="D76" i="1"/>
  <c r="E76" i="1"/>
  <c r="D68" i="1"/>
  <c r="E68" i="1"/>
  <c r="D99" i="1"/>
  <c r="E99" i="1"/>
  <c r="D91" i="1"/>
  <c r="E91" i="1"/>
  <c r="D83" i="1"/>
  <c r="E83" i="1"/>
  <c r="D75" i="1"/>
  <c r="E75" i="1"/>
  <c r="D67" i="1"/>
  <c r="E67" i="1"/>
  <c r="E38" i="1"/>
  <c r="D38" i="1"/>
  <c r="D45" i="1"/>
  <c r="E45" i="1"/>
  <c r="D31" i="1"/>
  <c r="E31" i="1"/>
  <c r="E37" i="1"/>
  <c r="D37" i="1"/>
  <c r="D64" i="1"/>
  <c r="E64" i="1"/>
  <c r="D39" i="1"/>
  <c r="E39" i="1"/>
  <c r="D29" i="1"/>
  <c r="E29" i="1"/>
  <c r="D65" i="1"/>
  <c r="E65" i="1"/>
  <c r="D44" i="1"/>
  <c r="E44" i="1"/>
  <c r="D57" i="1"/>
  <c r="E57" i="1"/>
  <c r="E40" i="1"/>
  <c r="D40" i="1"/>
  <c r="D55" i="1"/>
  <c r="E55" i="1"/>
  <c r="D53" i="1"/>
  <c r="E53" i="1"/>
  <c r="D52" i="1"/>
  <c r="E52" i="1"/>
  <c r="D28" i="1"/>
  <c r="E28" i="1"/>
  <c r="E32" i="1"/>
  <c r="D32" i="1"/>
  <c r="E46" i="1"/>
  <c r="D46" i="1"/>
  <c r="D60" i="1"/>
  <c r="E60" i="1"/>
  <c r="D36" i="1"/>
  <c r="E36" i="1"/>
  <c r="D33" i="1"/>
  <c r="E33" i="1"/>
  <c r="E30" i="1"/>
  <c r="D30" i="1"/>
  <c r="D51" i="1"/>
  <c r="E51" i="1"/>
  <c r="D27" i="1"/>
  <c r="E27" i="1"/>
  <c r="E41" i="1"/>
  <c r="D41" i="1"/>
  <c r="E63" i="1"/>
  <c r="D63" i="1"/>
  <c r="D61" i="1"/>
  <c r="E61" i="1"/>
  <c r="D35" i="1"/>
  <c r="E35" i="1"/>
  <c r="D48" i="1"/>
  <c r="E48" i="1"/>
  <c r="D54" i="1"/>
  <c r="E54" i="1"/>
  <c r="D59" i="1"/>
  <c r="E59" i="1"/>
  <c r="D43" i="1"/>
  <c r="E43" i="1"/>
  <c r="E49" i="1"/>
  <c r="D49" i="1"/>
  <c r="E56" i="1"/>
  <c r="D56" i="1"/>
  <c r="D47" i="1"/>
  <c r="E47" i="1"/>
  <c r="E62" i="1"/>
  <c r="D62" i="1"/>
  <c r="D66" i="1"/>
  <c r="E66" i="1"/>
  <c r="D58" i="1"/>
  <c r="E58" i="1"/>
  <c r="D50" i="1"/>
  <c r="E50" i="1"/>
  <c r="D42" i="1"/>
  <c r="E42" i="1"/>
  <c r="D34" i="1"/>
  <c r="E34" i="1"/>
  <c r="D26" i="1"/>
  <c r="E26" i="1"/>
  <c r="D25" i="1"/>
  <c r="E25" i="1"/>
  <c r="A265" i="4" l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D294" i="4" s="1"/>
  <c r="D264" i="4"/>
</calcChain>
</file>

<file path=xl/sharedStrings.xml><?xml version="1.0" encoding="utf-8"?>
<sst xmlns="http://schemas.openxmlformats.org/spreadsheetml/2006/main" count="20" uniqueCount="8">
  <si>
    <t>Time</t>
  </si>
  <si>
    <t>Temperature</t>
  </si>
  <si>
    <t>Fraction</t>
  </si>
  <si>
    <t>X</t>
  </si>
  <si>
    <t>Y</t>
  </si>
  <si>
    <t>Excel spline curve X-Y scatter chart</t>
  </si>
  <si>
    <t>Generated spline points</t>
  </si>
  <si>
    <t>Excel linear line 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</si>
</sst>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2" fontId="0" fillId="0" borderId="0" xfId="0" applyNumberFormat="1"/>
    <xf numFmtId="0" fontId="0" fillId="2" borderId="0" xfId="0" applyFill="1"/>
    <xf numFmtId="2" fontId="0" fillId="2" borderId="0" xfId="0" applyNumberForma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Time vs. Temperature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'Lead Free'!$B$1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'Lead Free'!$A$2:$A$8</c:f>
              <c:numCache>
                <c:formatCode>General</c:formatCode>
                <c:ptCount val="7"/>
                <c:pt idx="0">
                  <c:v>0</c:v>
                </c:pt>
                <c:pt idx="1">
                  <c:v>90</c:v>
                </c:pt>
                <c:pt idx="2">
                  <c:v>180</c:v>
                </c:pt>
                <c:pt idx="3">
                  <c:v>200</c:v>
                </c:pt>
                <c:pt idx="4">
                  <c:v>220</c:v>
                </c:pt>
                <c:pt idx="5">
                  <c:v>240</c:v>
                </c:pt>
                <c:pt idx="6">
                  <c:v>270</c:v>
                </c:pt>
              </c:numCache>
            </c:numRef>
          </c:xVal>
          <c:yVal>
            <c:numRef>
              <c:f>'Lead Free'!$B$2:$B$8</c:f>
              <c:numCache>
                <c:formatCode>General</c:formatCode>
                <c:ptCount val="7"/>
                <c:pt idx="0">
                  <c:v>25</c:v>
                </c:pt>
                <c:pt idx="1">
                  <c:v>150</c:v>
                </c:pt>
                <c:pt idx="2">
                  <c:v>217</c:v>
                </c:pt>
                <c:pt idx="3">
                  <c:v>240</c:v>
                </c:pt>
                <c:pt idx="4">
                  <c:v>240</c:v>
                </c:pt>
                <c:pt idx="5">
                  <c:v>217</c:v>
                </c:pt>
                <c:pt idx="6">
                  <c:v>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39498256"/>
        <c:axId val="-1839500976"/>
      </c:scatterChart>
      <c:valAx>
        <c:axId val="-183949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39500976"/>
        <c:crosses val="autoZero"/>
        <c:crossBetween val="midCat"/>
      </c:valAx>
      <c:valAx>
        <c:axId val="-183950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39498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</a:t>
            </a:r>
            <a:r>
              <a:rPr lang="en-US" baseline="0"/>
              <a:t> vs. Temperature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'Lead Free'!$E$23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'Lead Free'!$D$24:$D$294</c:f>
              <c:numCache>
                <c:formatCode>0.00</c:formatCode>
                <c:ptCount val="271"/>
                <c:pt idx="0" formatCode="General">
                  <c:v>0</c:v>
                </c:pt>
                <c:pt idx="1">
                  <c:v>1.0000000000000018</c:v>
                </c:pt>
                <c:pt idx="2">
                  <c:v>1.9999999999999982</c:v>
                </c:pt>
                <c:pt idx="3">
                  <c:v>3</c:v>
                </c:pt>
                <c:pt idx="4">
                  <c:v>4.0000000000000018</c:v>
                </c:pt>
                <c:pt idx="5">
                  <c:v>4.9999999999999956</c:v>
                </c:pt>
                <c:pt idx="6">
                  <c:v>6</c:v>
                </c:pt>
                <c:pt idx="7">
                  <c:v>7.0000000000000044</c:v>
                </c:pt>
                <c:pt idx="8">
                  <c:v>7.9999999999999982</c:v>
                </c:pt>
                <c:pt idx="9">
                  <c:v>9.0000000000000036</c:v>
                </c:pt>
                <c:pt idx="10">
                  <c:v>9.9999999999999911</c:v>
                </c:pt>
                <c:pt idx="11">
                  <c:v>10.999999999999996</c:v>
                </c:pt>
                <c:pt idx="12">
                  <c:v>12</c:v>
                </c:pt>
                <c:pt idx="13">
                  <c:v>13.000000000000005</c:v>
                </c:pt>
                <c:pt idx="14">
                  <c:v>13.999999999999998</c:v>
                </c:pt>
                <c:pt idx="15">
                  <c:v>14.999999999999998</c:v>
                </c:pt>
                <c:pt idx="16">
                  <c:v>15.999999999999996</c:v>
                </c:pt>
                <c:pt idx="17">
                  <c:v>16.999999999999996</c:v>
                </c:pt>
                <c:pt idx="18">
                  <c:v>18.000000000000007</c:v>
                </c:pt>
                <c:pt idx="19">
                  <c:v>18.999999999999993</c:v>
                </c:pt>
                <c:pt idx="20">
                  <c:v>20</c:v>
                </c:pt>
                <c:pt idx="21">
                  <c:v>20.999999999999993</c:v>
                </c:pt>
                <c:pt idx="22">
                  <c:v>21.999999999999993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25.999999999999993</c:v>
                </c:pt>
                <c:pt idx="27">
                  <c:v>26.999999999999986</c:v>
                </c:pt>
                <c:pt idx="28">
                  <c:v>27.999999999999996</c:v>
                </c:pt>
                <c:pt idx="29">
                  <c:v>29.000000000000004</c:v>
                </c:pt>
                <c:pt idx="30">
                  <c:v>30</c:v>
                </c:pt>
                <c:pt idx="31">
                  <c:v>30.999999999999996</c:v>
                </c:pt>
                <c:pt idx="32">
                  <c:v>31.999999999999993</c:v>
                </c:pt>
                <c:pt idx="33">
                  <c:v>32.999999999999986</c:v>
                </c:pt>
                <c:pt idx="34">
                  <c:v>33.999999999999993</c:v>
                </c:pt>
                <c:pt idx="35">
                  <c:v>35</c:v>
                </c:pt>
                <c:pt idx="36">
                  <c:v>36</c:v>
                </c:pt>
                <c:pt idx="37">
                  <c:v>36.999999999999986</c:v>
                </c:pt>
                <c:pt idx="38">
                  <c:v>37.999999999999986</c:v>
                </c:pt>
                <c:pt idx="39">
                  <c:v>39</c:v>
                </c:pt>
                <c:pt idx="40">
                  <c:v>39.999999999999986</c:v>
                </c:pt>
                <c:pt idx="41">
                  <c:v>41</c:v>
                </c:pt>
                <c:pt idx="42">
                  <c:v>41.999999999999993</c:v>
                </c:pt>
                <c:pt idx="43">
                  <c:v>42.999999999999986</c:v>
                </c:pt>
                <c:pt idx="44">
                  <c:v>43.999999999999986</c:v>
                </c:pt>
                <c:pt idx="45">
                  <c:v>44.999999999999993</c:v>
                </c:pt>
                <c:pt idx="46">
                  <c:v>46</c:v>
                </c:pt>
                <c:pt idx="47">
                  <c:v>46.999999999999993</c:v>
                </c:pt>
                <c:pt idx="48">
                  <c:v>47.999999999999993</c:v>
                </c:pt>
                <c:pt idx="49">
                  <c:v>48.999999999999993</c:v>
                </c:pt>
                <c:pt idx="50">
                  <c:v>50</c:v>
                </c:pt>
                <c:pt idx="51">
                  <c:v>50.999999999999986</c:v>
                </c:pt>
                <c:pt idx="52">
                  <c:v>51.999999999999986</c:v>
                </c:pt>
                <c:pt idx="53">
                  <c:v>53</c:v>
                </c:pt>
                <c:pt idx="54">
                  <c:v>53.999999999999979</c:v>
                </c:pt>
                <c:pt idx="55">
                  <c:v>54.999999999999993</c:v>
                </c:pt>
                <c:pt idx="56">
                  <c:v>55.999999999999993</c:v>
                </c:pt>
                <c:pt idx="57">
                  <c:v>56.999999999999993</c:v>
                </c:pt>
                <c:pt idx="58">
                  <c:v>57.999999999999993</c:v>
                </c:pt>
                <c:pt idx="59">
                  <c:v>58.999999999999986</c:v>
                </c:pt>
                <c:pt idx="60">
                  <c:v>59.999999999999979</c:v>
                </c:pt>
                <c:pt idx="61">
                  <c:v>60.999999999999993</c:v>
                </c:pt>
                <c:pt idx="62">
                  <c:v>61.999999999999993</c:v>
                </c:pt>
                <c:pt idx="63">
                  <c:v>62.999999999999986</c:v>
                </c:pt>
                <c:pt idx="64">
                  <c:v>63.999999999999993</c:v>
                </c:pt>
                <c:pt idx="65">
                  <c:v>64.999999999999986</c:v>
                </c:pt>
                <c:pt idx="66">
                  <c:v>65.999999999999986</c:v>
                </c:pt>
                <c:pt idx="67">
                  <c:v>66.999999999999986</c:v>
                </c:pt>
                <c:pt idx="68">
                  <c:v>67.999999999999986</c:v>
                </c:pt>
                <c:pt idx="69">
                  <c:v>69</c:v>
                </c:pt>
                <c:pt idx="70">
                  <c:v>69.999999999999986</c:v>
                </c:pt>
                <c:pt idx="71">
                  <c:v>70.999999999999986</c:v>
                </c:pt>
                <c:pt idx="72">
                  <c:v>72</c:v>
                </c:pt>
                <c:pt idx="73">
                  <c:v>72.999999999999986</c:v>
                </c:pt>
                <c:pt idx="74">
                  <c:v>74</c:v>
                </c:pt>
                <c:pt idx="75">
                  <c:v>75</c:v>
                </c:pt>
                <c:pt idx="76">
                  <c:v>75.999999999999986</c:v>
                </c:pt>
                <c:pt idx="77">
                  <c:v>76.999999999999986</c:v>
                </c:pt>
                <c:pt idx="78">
                  <c:v>78</c:v>
                </c:pt>
                <c:pt idx="79">
                  <c:v>78.999999999999986</c:v>
                </c:pt>
                <c:pt idx="80">
                  <c:v>79.999999999999972</c:v>
                </c:pt>
                <c:pt idx="81">
                  <c:v>80.999999999999986</c:v>
                </c:pt>
                <c:pt idx="82">
                  <c:v>82</c:v>
                </c:pt>
                <c:pt idx="83">
                  <c:v>82.999999999999986</c:v>
                </c:pt>
                <c:pt idx="84">
                  <c:v>83.999999999999986</c:v>
                </c:pt>
                <c:pt idx="85">
                  <c:v>85</c:v>
                </c:pt>
                <c:pt idx="86">
                  <c:v>85.999999999999986</c:v>
                </c:pt>
                <c:pt idx="87">
                  <c:v>87</c:v>
                </c:pt>
                <c:pt idx="88">
                  <c:v>87.999999999999986</c:v>
                </c:pt>
                <c:pt idx="89">
                  <c:v>88.999999999999986</c:v>
                </c:pt>
                <c:pt idx="90" formatCode="General">
                  <c:v>90</c:v>
                </c:pt>
                <c:pt idx="91" formatCode="General">
                  <c:v>91.004272976680383</c:v>
                </c:pt>
                <c:pt idx="92" formatCode="General">
                  <c:v>92.016899862825767</c:v>
                </c:pt>
                <c:pt idx="93" formatCode="General">
                  <c:v>93.037592592592588</c:v>
                </c:pt>
                <c:pt idx="94" formatCode="General">
                  <c:v>94.066063100137171</c:v>
                </c:pt>
                <c:pt idx="95" formatCode="General">
                  <c:v>95.10202331961591</c:v>
                </c:pt>
                <c:pt idx="96" formatCode="General">
                  <c:v>96.14518518518517</c:v>
                </c:pt>
                <c:pt idx="97" formatCode="General">
                  <c:v>97.195260631001389</c:v>
                </c:pt>
                <c:pt idx="98" formatCode="General">
                  <c:v>98.251961591220834</c:v>
                </c:pt>
                <c:pt idx="99" formatCode="General">
                  <c:v>99.314999999999998</c:v>
                </c:pt>
                <c:pt idx="100" formatCode="General">
                  <c:v>100.38408779149515</c:v>
                </c:pt>
                <c:pt idx="101" formatCode="General">
                  <c:v>101.45893689986279</c:v>
                </c:pt>
                <c:pt idx="102" formatCode="General">
                  <c:v>102.53925925925925</c:v>
                </c:pt>
                <c:pt idx="103" formatCode="General">
                  <c:v>103.6247668038409</c:v>
                </c:pt>
                <c:pt idx="104" formatCode="General">
                  <c:v>104.71517146776405</c:v>
                </c:pt>
                <c:pt idx="105" formatCode="General">
                  <c:v>105.81018518518518</c:v>
                </c:pt>
                <c:pt idx="106" formatCode="General">
                  <c:v>106.9095198902606</c:v>
                </c:pt>
                <c:pt idx="107" formatCode="General">
                  <c:v>108.01288751714677</c:v>
                </c:pt>
                <c:pt idx="108" formatCode="General">
                  <c:v>109.12</c:v>
                </c:pt>
                <c:pt idx="109" formatCode="General">
                  <c:v>110.23056927297665</c:v>
                </c:pt>
                <c:pt idx="110" formatCode="General">
                  <c:v>111.34430727023317</c:v>
                </c:pt>
                <c:pt idx="111" formatCode="General">
                  <c:v>112.46092592592589</c:v>
                </c:pt>
                <c:pt idx="112" formatCode="General">
                  <c:v>113.58013717421122</c:v>
                </c:pt>
                <c:pt idx="113" formatCode="General">
                  <c:v>114.70165294924554</c:v>
                </c:pt>
                <c:pt idx="114" formatCode="General">
                  <c:v>115.82518518518521</c:v>
                </c:pt>
                <c:pt idx="115" formatCode="General">
                  <c:v>116.95044581618654</c:v>
                </c:pt>
                <c:pt idx="116" formatCode="General">
                  <c:v>118.07714677640602</c:v>
                </c:pt>
                <c:pt idx="117" formatCode="General">
                  <c:v>119.20499999999996</c:v>
                </c:pt>
                <c:pt idx="118" formatCode="General">
                  <c:v>120.33371742112482</c:v>
                </c:pt>
                <c:pt idx="119" formatCode="General">
                  <c:v>121.46301097393689</c:v>
                </c:pt>
                <c:pt idx="120" formatCode="General">
                  <c:v>122.59259259259258</c:v>
                </c:pt>
                <c:pt idx="121" formatCode="General">
                  <c:v>123.72217421124827</c:v>
                </c:pt>
                <c:pt idx="122" formatCode="General">
                  <c:v>124.85146776406032</c:v>
                </c:pt>
                <c:pt idx="123" formatCode="General">
                  <c:v>125.98018518518515</c:v>
                </c:pt>
                <c:pt idx="124" formatCode="General">
                  <c:v>127.10803840877914</c:v>
                </c:pt>
                <c:pt idx="125" formatCode="General">
                  <c:v>128.23473936899865</c:v>
                </c:pt>
                <c:pt idx="126" formatCode="General">
                  <c:v>129.35999999999999</c:v>
                </c:pt>
                <c:pt idx="127" formatCode="General">
                  <c:v>130.48353223593963</c:v>
                </c:pt>
                <c:pt idx="128" formatCode="General">
                  <c:v>131.60504801097392</c:v>
                </c:pt>
                <c:pt idx="129" formatCode="General">
                  <c:v>132.72425925925924</c:v>
                </c:pt>
                <c:pt idx="130" formatCode="General">
                  <c:v>133.84087791495196</c:v>
                </c:pt>
                <c:pt idx="131" formatCode="General">
                  <c:v>134.95461591220851</c:v>
                </c:pt>
                <c:pt idx="132" formatCode="General">
                  <c:v>136.06518518518519</c:v>
                </c:pt>
                <c:pt idx="133" formatCode="General">
                  <c:v>137.17229766803837</c:v>
                </c:pt>
                <c:pt idx="134" formatCode="General">
                  <c:v>138.27566529492452</c:v>
                </c:pt>
                <c:pt idx="135" formatCode="General">
                  <c:v>139.37499999999997</c:v>
                </c:pt>
                <c:pt idx="136" formatCode="General">
                  <c:v>140.4700137174211</c:v>
                </c:pt>
                <c:pt idx="137" formatCode="General">
                  <c:v>141.56041838134431</c:v>
                </c:pt>
                <c:pt idx="138" formatCode="General">
                  <c:v>142.64592592592592</c:v>
                </c:pt>
                <c:pt idx="139" formatCode="General">
                  <c:v>143.72624828532233</c:v>
                </c:pt>
                <c:pt idx="140" formatCode="General">
                  <c:v>144.80109739368999</c:v>
                </c:pt>
                <c:pt idx="141" formatCode="General">
                  <c:v>145.87018518518516</c:v>
                </c:pt>
                <c:pt idx="142" formatCode="General">
                  <c:v>146.93322359396433</c:v>
                </c:pt>
                <c:pt idx="143" formatCode="General">
                  <c:v>147.9899245541838</c:v>
                </c:pt>
                <c:pt idx="144" formatCode="General">
                  <c:v>149.03999999999996</c:v>
                </c:pt>
                <c:pt idx="145" formatCode="General">
                  <c:v>150.08316186556925</c:v>
                </c:pt>
                <c:pt idx="146" formatCode="General">
                  <c:v>151.11912208504796</c:v>
                </c:pt>
                <c:pt idx="147" formatCode="General">
                  <c:v>152.14759259259256</c:v>
                </c:pt>
                <c:pt idx="148" formatCode="General">
                  <c:v>153.16828532235937</c:v>
                </c:pt>
                <c:pt idx="149" formatCode="General">
                  <c:v>154.18091220850476</c:v>
                </c:pt>
                <c:pt idx="150" formatCode="General">
                  <c:v>155.18518518518519</c:v>
                </c:pt>
                <c:pt idx="151" formatCode="General">
                  <c:v>156.18081618655694</c:v>
                </c:pt>
                <c:pt idx="152" formatCode="General">
                  <c:v>157.16751714677639</c:v>
                </c:pt>
                <c:pt idx="153" formatCode="General">
                  <c:v>158.14499999999998</c:v>
                </c:pt>
                <c:pt idx="154" formatCode="General">
                  <c:v>159.11297668038407</c:v>
                </c:pt>
                <c:pt idx="155" formatCode="General">
                  <c:v>160.07115912208505</c:v>
                </c:pt>
                <c:pt idx="156" formatCode="General">
                  <c:v>161.01925925925923</c:v>
                </c:pt>
                <c:pt idx="157" formatCode="General">
                  <c:v>161.9569890260631</c:v>
                </c:pt>
                <c:pt idx="158" formatCode="General">
                  <c:v>162.88406035665295</c:v>
                </c:pt>
                <c:pt idx="159" formatCode="General">
                  <c:v>163.80018518518517</c:v>
                </c:pt>
                <c:pt idx="160" formatCode="General">
                  <c:v>164.70507544581616</c:v>
                </c:pt>
                <c:pt idx="161" formatCode="General">
                  <c:v>165.59844307270234</c:v>
                </c:pt>
                <c:pt idx="162" formatCode="General">
                  <c:v>166.48000000000002</c:v>
                </c:pt>
                <c:pt idx="163" formatCode="General">
                  <c:v>167.34945816186556</c:v>
                </c:pt>
                <c:pt idx="164" formatCode="General">
                  <c:v>168.20652949245542</c:v>
                </c:pt>
                <c:pt idx="165" formatCode="General">
                  <c:v>169.05092592592592</c:v>
                </c:pt>
                <c:pt idx="166" formatCode="General">
                  <c:v>169.88235939643346</c:v>
                </c:pt>
                <c:pt idx="167" formatCode="General">
                  <c:v>170.7005418381344</c:v>
                </c:pt>
                <c:pt idx="168" formatCode="General">
                  <c:v>171.50518518518518</c:v>
                </c:pt>
                <c:pt idx="169" formatCode="General">
                  <c:v>172.29600137174214</c:v>
                </c:pt>
                <c:pt idx="170" formatCode="General">
                  <c:v>173.07270233196158</c:v>
                </c:pt>
                <c:pt idx="171" formatCode="General">
                  <c:v>173.83500000000001</c:v>
                </c:pt>
                <c:pt idx="172" formatCode="General">
                  <c:v>174.58260631001369</c:v>
                </c:pt>
                <c:pt idx="173" formatCode="General">
                  <c:v>175.31523319615911</c:v>
                </c:pt>
                <c:pt idx="174" formatCode="General">
                  <c:v>176.03259259259258</c:v>
                </c:pt>
                <c:pt idx="175" formatCode="General">
                  <c:v>176.73439643347049</c:v>
                </c:pt>
                <c:pt idx="176" formatCode="General">
                  <c:v>177.42035665294924</c:v>
                </c:pt>
                <c:pt idx="177" formatCode="General">
                  <c:v>178.09018518518516</c:v>
                </c:pt>
                <c:pt idx="178" formatCode="General">
                  <c:v>178.74359396433471</c:v>
                </c:pt>
                <c:pt idx="179" formatCode="General">
                  <c:v>179.38029492455416</c:v>
                </c:pt>
                <c:pt idx="180" formatCode="General">
                  <c:v>180</c:v>
                </c:pt>
                <c:pt idx="181" formatCode="General">
                  <c:v>181.55318332330916</c:v>
                </c:pt>
                <c:pt idx="182" formatCode="General">
                  <c:v>183.0329072994698</c:v>
                </c:pt>
                <c:pt idx="183" formatCode="General">
                  <c:v>184.44171018242218</c:v>
                </c:pt>
                <c:pt idx="184" formatCode="General">
                  <c:v>185.78213022610686</c:v>
                </c:pt>
                <c:pt idx="185" formatCode="General">
                  <c:v>187.05670568446402</c:v>
                </c:pt>
                <c:pt idx="186" formatCode="General">
                  <c:v>188.26797481143416</c:v>
                </c:pt>
                <c:pt idx="187" formatCode="General">
                  <c:v>189.41847586095778</c:v>
                </c:pt>
                <c:pt idx="188" formatCode="General">
                  <c:v>190.51074708697513</c:v>
                </c:pt>
                <c:pt idx="189" formatCode="General">
                  <c:v>191.54732674342665</c:v>
                </c:pt>
                <c:pt idx="190" formatCode="General">
                  <c:v>192.53075308425267</c:v>
                </c:pt>
                <c:pt idx="191" formatCode="General">
                  <c:v>193.46356436339371</c:v>
                </c:pt>
                <c:pt idx="192" formatCode="General">
                  <c:v>194.34829883479006</c:v>
                </c:pt>
                <c:pt idx="193" formatCode="General">
                  <c:v>195.18749475238209</c:v>
                </c:pt>
                <c:pt idx="194" formatCode="General">
                  <c:v>195.98369037011034</c:v>
                </c:pt>
                <c:pt idx="195" formatCode="General">
                  <c:v>196.73942394191502</c:v>
                </c:pt>
                <c:pt idx="196" formatCode="General">
                  <c:v>197.45723372173666</c:v>
                </c:pt>
                <c:pt idx="197" formatCode="General">
                  <c:v>198.13965796351556</c:v>
                </c:pt>
                <c:pt idx="198" formatCode="General">
                  <c:v>198.78923492119219</c:v>
                </c:pt>
                <c:pt idx="199" formatCode="General">
                  <c:v>199.4085028487068</c:v>
                </c:pt>
                <c:pt idx="200" formatCode="General">
                  <c:v>200</c:v>
                </c:pt>
                <c:pt idx="201" formatCode="General">
                  <c:v>200.99999999999997</c:v>
                </c:pt>
                <c:pt idx="202" formatCode="General">
                  <c:v>202.00000000000003</c:v>
                </c:pt>
                <c:pt idx="203" formatCode="General">
                  <c:v>203</c:v>
                </c:pt>
                <c:pt idx="204" formatCode="General">
                  <c:v>204.00000000000006</c:v>
                </c:pt>
                <c:pt idx="205" formatCode="General">
                  <c:v>205</c:v>
                </c:pt>
                <c:pt idx="206" formatCode="General">
                  <c:v>205.99999999999997</c:v>
                </c:pt>
                <c:pt idx="207" formatCode="General">
                  <c:v>206.99999999999997</c:v>
                </c:pt>
                <c:pt idx="208" formatCode="General">
                  <c:v>208</c:v>
                </c:pt>
                <c:pt idx="209" formatCode="General">
                  <c:v>209.00000000000003</c:v>
                </c:pt>
                <c:pt idx="210" formatCode="General">
                  <c:v>210</c:v>
                </c:pt>
                <c:pt idx="211" formatCode="General">
                  <c:v>211</c:v>
                </c:pt>
                <c:pt idx="212" formatCode="General">
                  <c:v>212</c:v>
                </c:pt>
                <c:pt idx="213" formatCode="General">
                  <c:v>212.99999999999994</c:v>
                </c:pt>
                <c:pt idx="214" formatCode="General">
                  <c:v>213.99999999999997</c:v>
                </c:pt>
                <c:pt idx="215" formatCode="General">
                  <c:v>214.99999999999997</c:v>
                </c:pt>
                <c:pt idx="216" formatCode="General">
                  <c:v>216</c:v>
                </c:pt>
                <c:pt idx="217" formatCode="General">
                  <c:v>216.99999999999994</c:v>
                </c:pt>
                <c:pt idx="218" formatCode="General">
                  <c:v>217.99999999999997</c:v>
                </c:pt>
                <c:pt idx="219" formatCode="General">
                  <c:v>218.99999999999997</c:v>
                </c:pt>
                <c:pt idx="220" formatCode="General">
                  <c:v>220</c:v>
                </c:pt>
                <c:pt idx="221" formatCode="General">
                  <c:v>220.65640308886185</c:v>
                </c:pt>
                <c:pt idx="222" formatCode="General">
                  <c:v>221.40614654880636</c:v>
                </c:pt>
                <c:pt idx="223" formatCode="General">
                  <c:v>222.23970166730439</c:v>
                </c:pt>
                <c:pt idx="224" formatCode="General">
                  <c:v>223.14753973182735</c:v>
                </c:pt>
                <c:pt idx="225" formatCode="General">
                  <c:v>224.12013202984613</c:v>
                </c:pt>
                <c:pt idx="226" formatCode="General">
                  <c:v>225.14794984883196</c:v>
                </c:pt>
                <c:pt idx="227" formatCode="General">
                  <c:v>226.22146447625599</c:v>
                </c:pt>
                <c:pt idx="228" formatCode="General">
                  <c:v>227.33114719958928</c:v>
                </c:pt>
                <c:pt idx="229" formatCode="General">
                  <c:v>228.46746930630303</c:v>
                </c:pt>
                <c:pt idx="230" formatCode="General">
                  <c:v>229.62090208386817</c:v>
                </c:pt>
                <c:pt idx="231" formatCode="General">
                  <c:v>230.78191681975602</c:v>
                </c:pt>
                <c:pt idx="232" formatCode="General">
                  <c:v>231.94098480143759</c:v>
                </c:pt>
                <c:pt idx="233" formatCode="General">
                  <c:v>233.08857731638403</c:v>
                </c:pt>
                <c:pt idx="234" formatCode="General">
                  <c:v>234.2151656520665</c:v>
                </c:pt>
                <c:pt idx="235" formatCode="General">
                  <c:v>235.31122109595609</c:v>
                </c:pt>
                <c:pt idx="236" formatCode="General">
                  <c:v>236.36721493552395</c:v>
                </c:pt>
                <c:pt idx="237" formatCode="General">
                  <c:v>237.37361845824108</c:v>
                </c:pt>
                <c:pt idx="238" formatCode="General">
                  <c:v>238.32090295157877</c:v>
                </c:pt>
                <c:pt idx="239" formatCode="General">
                  <c:v>239.19953970300804</c:v>
                </c:pt>
                <c:pt idx="240" formatCode="General">
                  <c:v>240</c:v>
                </c:pt>
                <c:pt idx="241" formatCode="General">
                  <c:v>240.84425925925927</c:v>
                </c:pt>
                <c:pt idx="242" formatCode="General">
                  <c:v>241.70962962962966</c:v>
                </c:pt>
                <c:pt idx="243" formatCode="General">
                  <c:v>242.59500000000003</c:v>
                </c:pt>
                <c:pt idx="244" formatCode="General">
                  <c:v>243.4992592592593</c:v>
                </c:pt>
                <c:pt idx="245" formatCode="General">
                  <c:v>244.42129629629633</c:v>
                </c:pt>
                <c:pt idx="246" formatCode="General">
                  <c:v>245.3600000000001</c:v>
                </c:pt>
                <c:pt idx="247" formatCode="General">
                  <c:v>246.31425925925925</c:v>
                </c:pt>
                <c:pt idx="248" formatCode="General">
                  <c:v>247.28296296296298</c:v>
                </c:pt>
                <c:pt idx="249" formatCode="General">
                  <c:v>248.26500000000001</c:v>
                </c:pt>
                <c:pt idx="250" formatCode="General">
                  <c:v>249.25925925925932</c:v>
                </c:pt>
                <c:pt idx="251" formatCode="General">
                  <c:v>250.26462962962961</c:v>
                </c:pt>
                <c:pt idx="252" formatCode="General">
                  <c:v>251.28000000000003</c:v>
                </c:pt>
                <c:pt idx="253" formatCode="General">
                  <c:v>252.30425925925928</c:v>
                </c:pt>
                <c:pt idx="254" formatCode="General">
                  <c:v>253.33629629629635</c:v>
                </c:pt>
                <c:pt idx="255" formatCode="General">
                  <c:v>254.37500000000003</c:v>
                </c:pt>
                <c:pt idx="256" formatCode="General">
                  <c:v>255.41925925925929</c:v>
                </c:pt>
                <c:pt idx="257" formatCode="General">
                  <c:v>256.46796296296299</c:v>
                </c:pt>
                <c:pt idx="258" formatCode="General">
                  <c:v>257.52000000000004</c:v>
                </c:pt>
                <c:pt idx="259" formatCode="General">
                  <c:v>258.57425925925929</c:v>
                </c:pt>
                <c:pt idx="260" formatCode="General">
                  <c:v>259.62962962962962</c:v>
                </c:pt>
                <c:pt idx="261" formatCode="General">
                  <c:v>260.68500000000006</c:v>
                </c:pt>
                <c:pt idx="262" formatCode="General">
                  <c:v>261.73925925925926</c:v>
                </c:pt>
                <c:pt idx="263" formatCode="General">
                  <c:v>262.79129629629637</c:v>
                </c:pt>
                <c:pt idx="264" formatCode="General">
                  <c:v>263.84000000000003</c:v>
                </c:pt>
                <c:pt idx="265" formatCode="General">
                  <c:v>264.88425925925935</c:v>
                </c:pt>
                <c:pt idx="266" formatCode="General">
                  <c:v>265.92296296296303</c:v>
                </c:pt>
                <c:pt idx="267" formatCode="General">
                  <c:v>266.95499999999998</c:v>
                </c:pt>
                <c:pt idx="268" formatCode="General">
                  <c:v>267.97925925925932</c:v>
                </c:pt>
                <c:pt idx="269" formatCode="General">
                  <c:v>268.99462962962963</c:v>
                </c:pt>
                <c:pt idx="270" formatCode="General">
                  <c:v>270</c:v>
                </c:pt>
              </c:numCache>
            </c:numRef>
          </c:xVal>
          <c:yVal>
            <c:numRef>
              <c:f>'Lead Free'!$E$24:$E$294</c:f>
              <c:numCache>
                <c:formatCode>0.00</c:formatCode>
                <c:ptCount val="271"/>
                <c:pt idx="0" formatCode="General">
                  <c:v>25</c:v>
                </c:pt>
                <c:pt idx="1">
                  <c:v>26.392429355281166</c:v>
                </c:pt>
                <c:pt idx="2">
                  <c:v>27.791780521262034</c:v>
                </c:pt>
                <c:pt idx="3">
                  <c:v>29.197814814814848</c:v>
                </c:pt>
                <c:pt idx="4">
                  <c:v>30.610293552812017</c:v>
                </c:pt>
                <c:pt idx="5">
                  <c:v>32.028978052126241</c:v>
                </c:pt>
                <c:pt idx="6">
                  <c:v>33.453629629629603</c:v>
                </c:pt>
                <c:pt idx="7">
                  <c:v>34.884009602194752</c:v>
                </c:pt>
                <c:pt idx="8">
                  <c:v>36.31987928669411</c:v>
                </c:pt>
                <c:pt idx="9">
                  <c:v>37.760999999999946</c:v>
                </c:pt>
                <c:pt idx="10">
                  <c:v>39.207133058984986</c:v>
                </c:pt>
                <c:pt idx="11">
                  <c:v>40.65803978052125</c:v>
                </c:pt>
                <c:pt idx="12">
                  <c:v>42.113481481481429</c:v>
                </c:pt>
                <c:pt idx="13">
                  <c:v>43.573219478737933</c:v>
                </c:pt>
                <c:pt idx="14">
                  <c:v>45.037015089163233</c:v>
                </c:pt>
                <c:pt idx="15">
                  <c:v>46.504629629629569</c:v>
                </c:pt>
                <c:pt idx="16">
                  <c:v>47.97582441700964</c:v>
                </c:pt>
                <c:pt idx="17">
                  <c:v>49.450360768175585</c:v>
                </c:pt>
                <c:pt idx="18">
                  <c:v>50.927999999999905</c:v>
                </c:pt>
                <c:pt idx="19">
                  <c:v>52.408503429355314</c:v>
                </c:pt>
                <c:pt idx="20">
                  <c:v>53.891632373113843</c:v>
                </c:pt>
                <c:pt idx="21">
                  <c:v>55.377148148148194</c:v>
                </c:pt>
                <c:pt idx="22">
                  <c:v>56.864812071330604</c:v>
                </c:pt>
                <c:pt idx="23">
                  <c:v>58.354385459533617</c:v>
                </c:pt>
                <c:pt idx="24">
                  <c:v>59.845629629629606</c:v>
                </c:pt>
                <c:pt idx="25">
                  <c:v>61.338305898491065</c:v>
                </c:pt>
                <c:pt idx="26">
                  <c:v>62.832175582990367</c:v>
                </c:pt>
                <c:pt idx="27">
                  <c:v>64.327000000000055</c:v>
                </c:pt>
                <c:pt idx="28">
                  <c:v>65.822540466392297</c:v>
                </c:pt>
                <c:pt idx="29">
                  <c:v>67.318558299039736</c:v>
                </c:pt>
                <c:pt idx="30">
                  <c:v>68.814814814814767</c:v>
                </c:pt>
                <c:pt idx="31">
                  <c:v>70.311071330589854</c:v>
                </c:pt>
                <c:pt idx="32">
                  <c:v>71.807089163237393</c:v>
                </c:pt>
                <c:pt idx="33">
                  <c:v>73.302629629629664</c:v>
                </c:pt>
                <c:pt idx="34">
                  <c:v>74.79745404663926</c:v>
                </c:pt>
                <c:pt idx="35">
                  <c:v>76.291323731138533</c:v>
                </c:pt>
                <c:pt idx="36">
                  <c:v>77.783999999999992</c:v>
                </c:pt>
                <c:pt idx="37">
                  <c:v>79.275244170096045</c:v>
                </c:pt>
                <c:pt idx="38">
                  <c:v>80.764817558299086</c:v>
                </c:pt>
                <c:pt idx="39">
                  <c:v>82.252481481481496</c:v>
                </c:pt>
                <c:pt idx="40">
                  <c:v>83.737997256515783</c:v>
                </c:pt>
                <c:pt idx="41">
                  <c:v>85.221126200274284</c:v>
                </c:pt>
                <c:pt idx="42">
                  <c:v>86.701629629629622</c:v>
                </c:pt>
                <c:pt idx="43">
                  <c:v>88.179268861454105</c:v>
                </c:pt>
                <c:pt idx="44">
                  <c:v>89.653805212620114</c:v>
                </c:pt>
                <c:pt idx="45">
                  <c:v>91.125000000000028</c:v>
                </c:pt>
                <c:pt idx="46">
                  <c:v>92.592614540466428</c:v>
                </c:pt>
                <c:pt idx="47">
                  <c:v>94.056410150891651</c:v>
                </c:pt>
                <c:pt idx="48">
                  <c:v>95.516148148148162</c:v>
                </c:pt>
                <c:pt idx="49">
                  <c:v>96.971589849108369</c:v>
                </c:pt>
                <c:pt idx="50">
                  <c:v>98.422496570644697</c:v>
                </c:pt>
                <c:pt idx="51">
                  <c:v>99.868629629629652</c:v>
                </c:pt>
                <c:pt idx="52">
                  <c:v>101.30975034293552</c:v>
                </c:pt>
                <c:pt idx="53">
                  <c:v>102.74562002743484</c:v>
                </c:pt>
                <c:pt idx="54">
                  <c:v>104.17600000000003</c:v>
                </c:pt>
                <c:pt idx="55">
                  <c:v>105.60065157750344</c:v>
                </c:pt>
                <c:pt idx="56">
                  <c:v>107.01933607681757</c:v>
                </c:pt>
                <c:pt idx="57">
                  <c:v>108.43181481481481</c:v>
                </c:pt>
                <c:pt idx="58">
                  <c:v>109.83784910836766</c:v>
                </c:pt>
                <c:pt idx="59">
                  <c:v>111.23720027434842</c:v>
                </c:pt>
                <c:pt idx="60">
                  <c:v>112.62962962962965</c:v>
                </c:pt>
                <c:pt idx="61">
                  <c:v>114.0148984910837</c:v>
                </c:pt>
                <c:pt idx="62">
                  <c:v>115.39276817558297</c:v>
                </c:pt>
                <c:pt idx="63">
                  <c:v>116.76300000000002</c:v>
                </c:pt>
                <c:pt idx="64">
                  <c:v>118.12535528120713</c:v>
                </c:pt>
                <c:pt idx="65">
                  <c:v>119.47959533607683</c:v>
                </c:pt>
                <c:pt idx="66">
                  <c:v>120.8254814814815</c:v>
                </c:pt>
                <c:pt idx="67">
                  <c:v>122.16277503429359</c:v>
                </c:pt>
                <c:pt idx="68">
                  <c:v>123.49123731138548</c:v>
                </c:pt>
                <c:pt idx="69">
                  <c:v>124.81062962962964</c:v>
                </c:pt>
                <c:pt idx="70">
                  <c:v>126.12071330589852</c:v>
                </c:pt>
                <c:pt idx="71">
                  <c:v>127.42124965706448</c:v>
                </c:pt>
                <c:pt idx="72">
                  <c:v>128.71200000000002</c:v>
                </c:pt>
                <c:pt idx="73">
                  <c:v>129.99272565157756</c:v>
                </c:pt>
                <c:pt idx="74">
                  <c:v>131.26318792866942</c:v>
                </c:pt>
                <c:pt idx="75">
                  <c:v>132.52314814814812</c:v>
                </c:pt>
                <c:pt idx="76">
                  <c:v>133.77236762688617</c:v>
                </c:pt>
                <c:pt idx="77">
                  <c:v>135.01060768175583</c:v>
                </c:pt>
                <c:pt idx="78">
                  <c:v>136.23762962962959</c:v>
                </c:pt>
                <c:pt idx="79">
                  <c:v>137.45319478737997</c:v>
                </c:pt>
                <c:pt idx="80">
                  <c:v>138.65706447187927</c:v>
                </c:pt>
                <c:pt idx="81">
                  <c:v>139.84900000000002</c:v>
                </c:pt>
                <c:pt idx="82">
                  <c:v>141.02876268861453</c:v>
                </c:pt>
                <c:pt idx="83">
                  <c:v>142.19611385459535</c:v>
                </c:pt>
                <c:pt idx="84">
                  <c:v>143.35081481481481</c:v>
                </c:pt>
                <c:pt idx="85">
                  <c:v>144.49262688614542</c:v>
                </c:pt>
                <c:pt idx="86">
                  <c:v>145.62131138545953</c:v>
                </c:pt>
                <c:pt idx="87">
                  <c:v>146.73662962962965</c:v>
                </c:pt>
                <c:pt idx="88">
                  <c:v>147.83834293552809</c:v>
                </c:pt>
                <c:pt idx="89">
                  <c:v>148.92621262002746</c:v>
                </c:pt>
                <c:pt idx="90" formatCode="General">
                  <c:v>150</c:v>
                </c:pt>
                <c:pt idx="91" formatCode="General">
                  <c:v>151.06223182441695</c:v>
                </c:pt>
                <c:pt idx="92" formatCode="General">
                  <c:v>152.11563237311387</c:v>
                </c:pt>
                <c:pt idx="93" formatCode="General">
                  <c:v>153.16025925925928</c:v>
                </c:pt>
                <c:pt idx="94" formatCode="General">
                  <c:v>154.19617009602192</c:v>
                </c:pt>
                <c:pt idx="95" formatCode="General">
                  <c:v>155.22342249657066</c:v>
                </c:pt>
                <c:pt idx="96" formatCode="General">
                  <c:v>156.24207407407405</c:v>
                </c:pt>
                <c:pt idx="97" formatCode="General">
                  <c:v>157.25218244170097</c:v>
                </c:pt>
                <c:pt idx="98" formatCode="General">
                  <c:v>158.25380521262005</c:v>
                </c:pt>
                <c:pt idx="99" formatCode="General">
                  <c:v>159.24699999999996</c:v>
                </c:pt>
                <c:pt idx="100" formatCode="General">
                  <c:v>160.23182441700968</c:v>
                </c:pt>
                <c:pt idx="101" formatCode="General">
                  <c:v>161.20833607681757</c:v>
                </c:pt>
                <c:pt idx="102" formatCode="General">
                  <c:v>162.17659259259256</c:v>
                </c:pt>
                <c:pt idx="103" formatCode="General">
                  <c:v>163.13665157750339</c:v>
                </c:pt>
                <c:pt idx="104" formatCode="General">
                  <c:v>164.08857064471877</c:v>
                </c:pt>
                <c:pt idx="105" formatCode="General">
                  <c:v>165.03240740740736</c:v>
                </c:pt>
                <c:pt idx="106" formatCode="General">
                  <c:v>165.96821947873801</c:v>
                </c:pt>
                <c:pt idx="107" formatCode="General">
                  <c:v>166.89606447187927</c:v>
                </c:pt>
                <c:pt idx="108" formatCode="General">
                  <c:v>167.81599999999997</c:v>
                </c:pt>
                <c:pt idx="109" formatCode="General">
                  <c:v>168.72808367626891</c:v>
                </c:pt>
                <c:pt idx="110" formatCode="General">
                  <c:v>169.63237311385458</c:v>
                </c:pt>
                <c:pt idx="111" formatCode="General">
                  <c:v>170.52892592592599</c:v>
                </c:pt>
                <c:pt idx="112" formatCode="General">
                  <c:v>171.41779972565158</c:v>
                </c:pt>
                <c:pt idx="113" formatCode="General">
                  <c:v>172.29905212620028</c:v>
                </c:pt>
                <c:pt idx="114" formatCode="General">
                  <c:v>173.17274074074069</c:v>
                </c:pt>
                <c:pt idx="115" formatCode="General">
                  <c:v>174.03892318244169</c:v>
                </c:pt>
                <c:pt idx="116" formatCode="General">
                  <c:v>174.89765706447187</c:v>
                </c:pt>
                <c:pt idx="117" formatCode="General">
                  <c:v>175.74900000000002</c:v>
                </c:pt>
                <c:pt idx="118" formatCode="General">
                  <c:v>176.5930096021948</c:v>
                </c:pt>
                <c:pt idx="119" formatCode="General">
                  <c:v>177.42974348422496</c:v>
                </c:pt>
                <c:pt idx="120" formatCode="General">
                  <c:v>178.25925925925921</c:v>
                </c:pt>
                <c:pt idx="121" formatCode="General">
                  <c:v>179.08161454046638</c:v>
                </c:pt>
                <c:pt idx="122" formatCode="General">
                  <c:v>179.89686694101513</c:v>
                </c:pt>
                <c:pt idx="123" formatCode="General">
                  <c:v>180.70507407407408</c:v>
                </c:pt>
                <c:pt idx="124" formatCode="General">
                  <c:v>181.50629355281205</c:v>
                </c:pt>
                <c:pt idx="125" formatCode="General">
                  <c:v>182.3005829903978</c:v>
                </c:pt>
                <c:pt idx="126" formatCode="General">
                  <c:v>183.08799999999999</c:v>
                </c:pt>
                <c:pt idx="127" formatCode="General">
                  <c:v>183.8686021947874</c:v>
                </c:pt>
                <c:pt idx="128" formatCode="General">
                  <c:v>184.6424471879287</c:v>
                </c:pt>
                <c:pt idx="129" formatCode="General">
                  <c:v>185.40959259259262</c:v>
                </c:pt>
                <c:pt idx="130" formatCode="General">
                  <c:v>186.17009602194787</c:v>
                </c:pt>
                <c:pt idx="131" formatCode="General">
                  <c:v>186.92401508916322</c:v>
                </c:pt>
                <c:pt idx="132" formatCode="General">
                  <c:v>187.6714074074074</c:v>
                </c:pt>
                <c:pt idx="133" formatCode="General">
                  <c:v>188.41233058984915</c:v>
                </c:pt>
                <c:pt idx="134" formatCode="General">
                  <c:v>189.14684224965708</c:v>
                </c:pt>
                <c:pt idx="135" formatCode="General">
                  <c:v>189.87499999999997</c:v>
                </c:pt>
                <c:pt idx="136" formatCode="General">
                  <c:v>190.59686145404666</c:v>
                </c:pt>
                <c:pt idx="137" formatCode="General">
                  <c:v>191.31248422496571</c:v>
                </c:pt>
                <c:pt idx="138" formatCode="General">
                  <c:v>192.02192592592593</c:v>
                </c:pt>
                <c:pt idx="139" formatCode="General">
                  <c:v>192.725244170096</c:v>
                </c:pt>
                <c:pt idx="140" formatCode="General">
                  <c:v>193.42249657064474</c:v>
                </c:pt>
                <c:pt idx="141" formatCode="General">
                  <c:v>194.11374074074078</c:v>
                </c:pt>
                <c:pt idx="142" formatCode="General">
                  <c:v>194.79903429355281</c:v>
                </c:pt>
                <c:pt idx="143" formatCode="General">
                  <c:v>195.47843484224964</c:v>
                </c:pt>
                <c:pt idx="144" formatCode="General">
                  <c:v>196.15199999999999</c:v>
                </c:pt>
                <c:pt idx="145" formatCode="General">
                  <c:v>196.81978737997258</c:v>
                </c:pt>
                <c:pt idx="146" formatCode="General">
                  <c:v>197.48185459533607</c:v>
                </c:pt>
                <c:pt idx="147" formatCode="General">
                  <c:v>198.13825925925929</c:v>
                </c:pt>
                <c:pt idx="148" formatCode="General">
                  <c:v>198.78905898491084</c:v>
                </c:pt>
                <c:pt idx="149" formatCode="General">
                  <c:v>199.43431138545952</c:v>
                </c:pt>
                <c:pt idx="150" formatCode="General">
                  <c:v>200.07407407407408</c:v>
                </c:pt>
                <c:pt idx="151" formatCode="General">
                  <c:v>200.70840466392318</c:v>
                </c:pt>
                <c:pt idx="152" formatCode="General">
                  <c:v>201.33736076817559</c:v>
                </c:pt>
                <c:pt idx="153" formatCode="General">
                  <c:v>201.96100000000001</c:v>
                </c:pt>
                <c:pt idx="154" formatCode="General">
                  <c:v>202.57937997256516</c:v>
                </c:pt>
                <c:pt idx="155" formatCode="General">
                  <c:v>203.19255829903977</c:v>
                </c:pt>
                <c:pt idx="156" formatCode="General">
                  <c:v>203.80059259259261</c:v>
                </c:pt>
                <c:pt idx="157" formatCode="General">
                  <c:v>204.40354046639234</c:v>
                </c:pt>
                <c:pt idx="158" formatCode="General">
                  <c:v>205.00145953360772</c:v>
                </c:pt>
                <c:pt idx="159" formatCode="General">
                  <c:v>205.59440740740743</c:v>
                </c:pt>
                <c:pt idx="160" formatCode="General">
                  <c:v>206.18244170096023</c:v>
                </c:pt>
                <c:pt idx="161" formatCode="General">
                  <c:v>206.76562002743484</c:v>
                </c:pt>
                <c:pt idx="162" formatCode="General">
                  <c:v>207.34399999999999</c:v>
                </c:pt>
                <c:pt idx="163" formatCode="General">
                  <c:v>207.91763923182441</c:v>
                </c:pt>
                <c:pt idx="164" formatCode="General">
                  <c:v>208.48659533607682</c:v>
                </c:pt>
                <c:pt idx="165" formatCode="General">
                  <c:v>209.05092592592592</c:v>
                </c:pt>
                <c:pt idx="166" formatCode="General">
                  <c:v>209.61068861454049</c:v>
                </c:pt>
                <c:pt idx="167" formatCode="General">
                  <c:v>210.16594101508917</c:v>
                </c:pt>
                <c:pt idx="168" formatCode="General">
                  <c:v>210.71674074074076</c:v>
                </c:pt>
                <c:pt idx="169" formatCode="General">
                  <c:v>211.2631454046639</c:v>
                </c:pt>
                <c:pt idx="170" formatCode="General">
                  <c:v>211.80521262002745</c:v>
                </c:pt>
                <c:pt idx="171" formatCode="General">
                  <c:v>212.34300000000002</c:v>
                </c:pt>
                <c:pt idx="172" formatCode="General">
                  <c:v>212.87656515775038</c:v>
                </c:pt>
                <c:pt idx="173" formatCode="General">
                  <c:v>213.40596570644718</c:v>
                </c:pt>
                <c:pt idx="174" formatCode="General">
                  <c:v>213.93125925925929</c:v>
                </c:pt>
                <c:pt idx="175" formatCode="General">
                  <c:v>214.45250342935529</c:v>
                </c:pt>
                <c:pt idx="176" formatCode="General">
                  <c:v>214.96975582990399</c:v>
                </c:pt>
                <c:pt idx="177" formatCode="General">
                  <c:v>215.48307407407407</c:v>
                </c:pt>
                <c:pt idx="178" formatCode="General">
                  <c:v>215.99251577503429</c:v>
                </c:pt>
                <c:pt idx="179" formatCode="General">
                  <c:v>216.49813854595337</c:v>
                </c:pt>
                <c:pt idx="180" formatCode="General">
                  <c:v>217</c:v>
                </c:pt>
                <c:pt idx="181" formatCode="General">
                  <c:v>218.32558183727932</c:v>
                </c:pt>
                <c:pt idx="182" formatCode="General">
                  <c:v>219.69260846808706</c:v>
                </c:pt>
                <c:pt idx="183" formatCode="General">
                  <c:v>221.09109204372507</c:v>
                </c:pt>
                <c:pt idx="184" formatCode="General">
                  <c:v>222.51104471549496</c:v>
                </c:pt>
                <c:pt idx="185" formatCode="General">
                  <c:v>223.94247863469866</c:v>
                </c:pt>
                <c:pt idx="186" formatCode="General">
                  <c:v>225.37540595263786</c:v>
                </c:pt>
                <c:pt idx="187" formatCode="General">
                  <c:v>226.7998388206143</c:v>
                </c:pt>
                <c:pt idx="188" formatCode="General">
                  <c:v>228.20578938992975</c:v>
                </c:pt>
                <c:pt idx="189" formatCode="General">
                  <c:v>229.58326981188594</c:v>
                </c:pt>
                <c:pt idx="190" formatCode="General">
                  <c:v>230.92229223778475</c:v>
                </c:pt>
                <c:pt idx="191" formatCode="General">
                  <c:v>232.21286881892783</c:v>
                </c:pt>
                <c:pt idx="192" formatCode="General">
                  <c:v>233.44501170661698</c:v>
                </c:pt>
                <c:pt idx="193" formatCode="General">
                  <c:v>234.60873305215398</c:v>
                </c:pt>
                <c:pt idx="194" formatCode="General">
                  <c:v>235.69404500684053</c:v>
                </c:pt>
                <c:pt idx="195" formatCode="General">
                  <c:v>236.69095972197843</c:v>
                </c:pt>
                <c:pt idx="196" formatCode="General">
                  <c:v>237.58948934886948</c:v>
                </c:pt>
                <c:pt idx="197" formatCode="General">
                  <c:v>238.37964603881539</c:v>
                </c:pt>
                <c:pt idx="198" formatCode="General">
                  <c:v>239.05144194311796</c:v>
                </c:pt>
                <c:pt idx="199" formatCode="General">
                  <c:v>239.59488921307889</c:v>
                </c:pt>
                <c:pt idx="200" formatCode="General">
                  <c:v>240</c:v>
                </c:pt>
                <c:pt idx="201" formatCode="General">
                  <c:v>240.54625000000001</c:v>
                </c:pt>
                <c:pt idx="202" formatCode="General">
                  <c:v>241.035</c:v>
                </c:pt>
                <c:pt idx="203" formatCode="General">
                  <c:v>241.46625000000003</c:v>
                </c:pt>
                <c:pt idx="204" formatCode="General">
                  <c:v>241.84</c:v>
                </c:pt>
                <c:pt idx="205" formatCode="General">
                  <c:v>242.15625000000003</c:v>
                </c:pt>
                <c:pt idx="206" formatCode="General">
                  <c:v>242.41500000000005</c:v>
                </c:pt>
                <c:pt idx="207" formatCode="General">
                  <c:v>242.61625000000004</c:v>
                </c:pt>
                <c:pt idx="208" formatCode="General">
                  <c:v>242.76000000000002</c:v>
                </c:pt>
                <c:pt idx="209" formatCode="General">
                  <c:v>242.84625</c:v>
                </c:pt>
                <c:pt idx="210" formatCode="General">
                  <c:v>242.875</c:v>
                </c:pt>
                <c:pt idx="211" formatCode="General">
                  <c:v>242.84625000000005</c:v>
                </c:pt>
                <c:pt idx="212" formatCode="General">
                  <c:v>242.76000000000002</c:v>
                </c:pt>
                <c:pt idx="213" formatCode="General">
                  <c:v>242.61625000000004</c:v>
                </c:pt>
                <c:pt idx="214" formatCode="General">
                  <c:v>242.41500000000002</c:v>
                </c:pt>
                <c:pt idx="215" formatCode="General">
                  <c:v>242.15625000000003</c:v>
                </c:pt>
                <c:pt idx="216" formatCode="General">
                  <c:v>241.84</c:v>
                </c:pt>
                <c:pt idx="217" formatCode="General">
                  <c:v>241.46625000000003</c:v>
                </c:pt>
                <c:pt idx="218" formatCode="General">
                  <c:v>241.035</c:v>
                </c:pt>
                <c:pt idx="219" formatCode="General">
                  <c:v>240.54625000000001</c:v>
                </c:pt>
                <c:pt idx="220" formatCode="General">
                  <c:v>240</c:v>
                </c:pt>
                <c:pt idx="221" formatCode="General">
                  <c:v>239.6733464989756</c:v>
                </c:pt>
                <c:pt idx="222" formatCode="General">
                  <c:v>239.3778360399692</c:v>
                </c:pt>
                <c:pt idx="223" formatCode="General">
                  <c:v>239.09383344055723</c:v>
                </c:pt>
                <c:pt idx="224" formatCode="General">
                  <c:v>238.80170351831597</c:v>
                </c:pt>
                <c:pt idx="225" formatCode="General">
                  <c:v>238.48181109082196</c:v>
                </c:pt>
                <c:pt idx="226" formatCode="General">
                  <c:v>238.1145209756514</c:v>
                </c:pt>
                <c:pt idx="227" formatCode="General">
                  <c:v>237.68019799038072</c:v>
                </c:pt>
                <c:pt idx="228" formatCode="General">
                  <c:v>237.15920695258629</c:v>
                </c:pt>
                <c:pt idx="229" formatCode="General">
                  <c:v>236.53191267984451</c:v>
                </c:pt>
                <c:pt idx="230" formatCode="General">
                  <c:v>235.77867998973173</c:v>
                </c:pt>
                <c:pt idx="231" formatCode="General">
                  <c:v>234.87987369982426</c:v>
                </c:pt>
                <c:pt idx="232" formatCode="General">
                  <c:v>233.81585862769856</c:v>
                </c:pt>
                <c:pt idx="233" formatCode="General">
                  <c:v>232.56699959093098</c:v>
                </c:pt>
                <c:pt idx="234" formatCode="General">
                  <c:v>231.11366140709791</c:v>
                </c:pt>
                <c:pt idx="235" formatCode="General">
                  <c:v>229.43620889377559</c:v>
                </c:pt>
                <c:pt idx="236" formatCode="General">
                  <c:v>227.51500686854055</c:v>
                </c:pt>
                <c:pt idx="237" formatCode="General">
                  <c:v>225.33042014896913</c:v>
                </c:pt>
                <c:pt idx="238" formatCode="General">
                  <c:v>222.86281355263765</c:v>
                </c:pt>
                <c:pt idx="239" formatCode="General">
                  <c:v>220.09255189712249</c:v>
                </c:pt>
                <c:pt idx="240" formatCode="General">
                  <c:v>217</c:v>
                </c:pt>
                <c:pt idx="241" formatCode="General">
                  <c:v>213.23201851851852</c:v>
                </c:pt>
                <c:pt idx="242" formatCode="General">
                  <c:v>209.10725925925925</c:v>
                </c:pt>
                <c:pt idx="243" formatCode="General">
                  <c:v>204.64449999999999</c:v>
                </c:pt>
                <c:pt idx="244" formatCode="General">
                  <c:v>199.8625185185185</c:v>
                </c:pt>
                <c:pt idx="245" formatCode="General">
                  <c:v>194.78009259259258</c:v>
                </c:pt>
                <c:pt idx="246" formatCode="General">
                  <c:v>189.41599999999997</c:v>
                </c:pt>
                <c:pt idx="247" formatCode="General">
                  <c:v>183.78901851851856</c:v>
                </c:pt>
                <c:pt idx="248" formatCode="General">
                  <c:v>177.91792592592591</c:v>
                </c:pt>
                <c:pt idx="249" formatCode="General">
                  <c:v>171.82150000000007</c:v>
                </c:pt>
                <c:pt idx="250" formatCode="General">
                  <c:v>165.5185185185185</c:v>
                </c:pt>
                <c:pt idx="251" formatCode="General">
                  <c:v>159.02775925925931</c:v>
                </c:pt>
                <c:pt idx="252" formatCode="General">
                  <c:v>152.36799999999999</c:v>
                </c:pt>
                <c:pt idx="253" formatCode="General">
                  <c:v>145.55801851851854</c:v>
                </c:pt>
                <c:pt idx="254" formatCode="General">
                  <c:v>138.61659259259258</c:v>
                </c:pt>
                <c:pt idx="255" formatCode="General">
                  <c:v>131.56250000000003</c:v>
                </c:pt>
                <c:pt idx="256" formatCode="General">
                  <c:v>124.41451851851853</c:v>
                </c:pt>
                <c:pt idx="257" formatCode="General">
                  <c:v>117.19142592592596</c:v>
                </c:pt>
                <c:pt idx="258" formatCode="General">
                  <c:v>109.91200000000003</c:v>
                </c:pt>
                <c:pt idx="259" formatCode="General">
                  <c:v>102.59501851851851</c:v>
                </c:pt>
                <c:pt idx="260" formatCode="General">
                  <c:v>95.259259259259295</c:v>
                </c:pt>
                <c:pt idx="261" formatCode="General">
                  <c:v>87.923500000000033</c:v>
                </c:pt>
                <c:pt idx="262" formatCode="General">
                  <c:v>80.606518518518541</c:v>
                </c:pt>
                <c:pt idx="263" formatCode="General">
                  <c:v>73.327092592592592</c:v>
                </c:pt>
                <c:pt idx="264" formatCode="General">
                  <c:v>66.103999999999971</c:v>
                </c:pt>
                <c:pt idx="265" formatCode="General">
                  <c:v>58.956018518518491</c:v>
                </c:pt>
                <c:pt idx="266" formatCode="General">
                  <c:v>51.901925925925916</c:v>
                </c:pt>
                <c:pt idx="267" formatCode="General">
                  <c:v>44.960499999999982</c:v>
                </c:pt>
                <c:pt idx="268" formatCode="General">
                  <c:v>38.150518518518481</c:v>
                </c:pt>
                <c:pt idx="269" formatCode="General">
                  <c:v>31.490759259259292</c:v>
                </c:pt>
                <c:pt idx="270" formatCode="General">
                  <c:v>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39504240"/>
        <c:axId val="-1839499888"/>
      </c:scatterChart>
      <c:valAx>
        <c:axId val="-1839504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39499888"/>
        <c:crosses val="autoZero"/>
        <c:crossBetween val="midCat"/>
      </c:valAx>
      <c:valAx>
        <c:axId val="-183949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39504240"/>
        <c:crosses val="autoZero"/>
        <c:crossBetween val="midCat"/>
      </c:valAx>
      <c:spPr>
        <a:noFill/>
        <a:ln>
          <a:solidFill>
            <a:schemeClr val="accent1"/>
          </a:solidFill>
          <a:prstDash val="sysDot"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'Lead Free'!$B$1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'Lead Free'!$A$2:$A$8</c:f>
              <c:numCache>
                <c:formatCode>General</c:formatCode>
                <c:ptCount val="7"/>
                <c:pt idx="0">
                  <c:v>0</c:v>
                </c:pt>
                <c:pt idx="1">
                  <c:v>90</c:v>
                </c:pt>
                <c:pt idx="2">
                  <c:v>180</c:v>
                </c:pt>
                <c:pt idx="3">
                  <c:v>200</c:v>
                </c:pt>
                <c:pt idx="4">
                  <c:v>220</c:v>
                </c:pt>
                <c:pt idx="5">
                  <c:v>240</c:v>
                </c:pt>
                <c:pt idx="6">
                  <c:v>270</c:v>
                </c:pt>
              </c:numCache>
            </c:numRef>
          </c:xVal>
          <c:yVal>
            <c:numRef>
              <c:f>'Lead Free'!$B$2:$B$8</c:f>
              <c:numCache>
                <c:formatCode>General</c:formatCode>
                <c:ptCount val="7"/>
                <c:pt idx="0">
                  <c:v>25</c:v>
                </c:pt>
                <c:pt idx="1">
                  <c:v>150</c:v>
                </c:pt>
                <c:pt idx="2">
                  <c:v>217</c:v>
                </c:pt>
                <c:pt idx="3">
                  <c:v>240</c:v>
                </c:pt>
                <c:pt idx="4">
                  <c:v>240</c:v>
                </c:pt>
                <c:pt idx="5">
                  <c:v>217</c:v>
                </c:pt>
                <c:pt idx="6">
                  <c:v>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39500432"/>
        <c:axId val="-1839509136"/>
      </c:scatterChart>
      <c:valAx>
        <c:axId val="-183950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39509136"/>
        <c:crosses val="autoZero"/>
        <c:crossBetween val="midCat"/>
      </c:valAx>
      <c:valAx>
        <c:axId val="-183950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39500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Time vs. Temperature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Lead!$B$1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Lead!$A$2:$A$8</c:f>
              <c:numCache>
                <c:formatCode>General</c:formatCode>
                <c:ptCount val="7"/>
                <c:pt idx="0">
                  <c:v>0</c:v>
                </c:pt>
                <c:pt idx="1">
                  <c:v>90</c:v>
                </c:pt>
                <c:pt idx="2">
                  <c:v>180</c:v>
                </c:pt>
                <c:pt idx="3">
                  <c:v>200</c:v>
                </c:pt>
                <c:pt idx="4">
                  <c:v>220</c:v>
                </c:pt>
                <c:pt idx="5">
                  <c:v>240</c:v>
                </c:pt>
                <c:pt idx="6">
                  <c:v>270</c:v>
                </c:pt>
              </c:numCache>
            </c:numRef>
          </c:xVal>
          <c:yVal>
            <c:numRef>
              <c:f>Lead!$B$2:$B$8</c:f>
              <c:numCache>
                <c:formatCode>General</c:formatCode>
                <c:ptCount val="7"/>
                <c:pt idx="0">
                  <c:v>25</c:v>
                </c:pt>
                <c:pt idx="1">
                  <c:v>150</c:v>
                </c:pt>
                <c:pt idx="2">
                  <c:v>180</c:v>
                </c:pt>
                <c:pt idx="3">
                  <c:v>210</c:v>
                </c:pt>
                <c:pt idx="4">
                  <c:v>210</c:v>
                </c:pt>
                <c:pt idx="5">
                  <c:v>180</c:v>
                </c:pt>
                <c:pt idx="6">
                  <c:v>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8887568"/>
        <c:axId val="-1988900624"/>
      </c:scatterChart>
      <c:valAx>
        <c:axId val="-1988887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8900624"/>
        <c:crosses val="autoZero"/>
        <c:crossBetween val="midCat"/>
      </c:valAx>
      <c:valAx>
        <c:axId val="-198890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8887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</a:t>
            </a:r>
            <a:r>
              <a:rPr lang="en-US" baseline="0"/>
              <a:t> vs. Temperature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Lead!$E$23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Lead!$D$24:$D$294</c:f>
              <c:numCache>
                <c:formatCode>0.00</c:formatCode>
                <c:ptCount val="271"/>
                <c:pt idx="0" formatCode="General">
                  <c:v>0</c:v>
                </c:pt>
                <c:pt idx="1">
                  <c:v>1.0000000000000018</c:v>
                </c:pt>
                <c:pt idx="2">
                  <c:v>1.9999999999999982</c:v>
                </c:pt>
                <c:pt idx="3">
                  <c:v>3</c:v>
                </c:pt>
                <c:pt idx="4">
                  <c:v>4.0000000000000018</c:v>
                </c:pt>
                <c:pt idx="5">
                  <c:v>4.9999999999999956</c:v>
                </c:pt>
                <c:pt idx="6">
                  <c:v>6</c:v>
                </c:pt>
                <c:pt idx="7">
                  <c:v>7.0000000000000044</c:v>
                </c:pt>
                <c:pt idx="8">
                  <c:v>7.9999999999999982</c:v>
                </c:pt>
                <c:pt idx="9">
                  <c:v>9.0000000000000036</c:v>
                </c:pt>
                <c:pt idx="10">
                  <c:v>9.9999999999999911</c:v>
                </c:pt>
                <c:pt idx="11">
                  <c:v>10.999999999999996</c:v>
                </c:pt>
                <c:pt idx="12">
                  <c:v>12</c:v>
                </c:pt>
                <c:pt idx="13">
                  <c:v>13.000000000000005</c:v>
                </c:pt>
                <c:pt idx="14">
                  <c:v>13.999999999999998</c:v>
                </c:pt>
                <c:pt idx="15">
                  <c:v>14.999999999999998</c:v>
                </c:pt>
                <c:pt idx="16">
                  <c:v>15.999999999999996</c:v>
                </c:pt>
                <c:pt idx="17">
                  <c:v>16.999999999999996</c:v>
                </c:pt>
                <c:pt idx="18">
                  <c:v>18.000000000000007</c:v>
                </c:pt>
                <c:pt idx="19">
                  <c:v>18.999999999999993</c:v>
                </c:pt>
                <c:pt idx="20">
                  <c:v>20</c:v>
                </c:pt>
                <c:pt idx="21">
                  <c:v>20.999999999999993</c:v>
                </c:pt>
                <c:pt idx="22">
                  <c:v>21.999999999999993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25.999999999999993</c:v>
                </c:pt>
                <c:pt idx="27">
                  <c:v>26.999999999999986</c:v>
                </c:pt>
                <c:pt idx="28">
                  <c:v>27.999999999999996</c:v>
                </c:pt>
                <c:pt idx="29">
                  <c:v>29.000000000000004</c:v>
                </c:pt>
                <c:pt idx="30">
                  <c:v>30</c:v>
                </c:pt>
                <c:pt idx="31">
                  <c:v>30.999999999999996</c:v>
                </c:pt>
                <c:pt idx="32">
                  <c:v>31.999999999999993</c:v>
                </c:pt>
                <c:pt idx="33">
                  <c:v>32.999999999999986</c:v>
                </c:pt>
                <c:pt idx="34">
                  <c:v>33.999999999999993</c:v>
                </c:pt>
                <c:pt idx="35">
                  <c:v>35</c:v>
                </c:pt>
                <c:pt idx="36">
                  <c:v>36</c:v>
                </c:pt>
                <c:pt idx="37">
                  <c:v>36.999999999999986</c:v>
                </c:pt>
                <c:pt idx="38">
                  <c:v>37.999999999999986</c:v>
                </c:pt>
                <c:pt idx="39">
                  <c:v>39</c:v>
                </c:pt>
                <c:pt idx="40">
                  <c:v>39.999999999999986</c:v>
                </c:pt>
                <c:pt idx="41">
                  <c:v>41</c:v>
                </c:pt>
                <c:pt idx="42">
                  <c:v>41.999999999999993</c:v>
                </c:pt>
                <c:pt idx="43">
                  <c:v>42.999999999999986</c:v>
                </c:pt>
                <c:pt idx="44">
                  <c:v>43.999999999999986</c:v>
                </c:pt>
                <c:pt idx="45">
                  <c:v>44.999999999999993</c:v>
                </c:pt>
                <c:pt idx="46">
                  <c:v>46</c:v>
                </c:pt>
                <c:pt idx="47">
                  <c:v>46.999999999999993</c:v>
                </c:pt>
                <c:pt idx="48">
                  <c:v>47.999999999999993</c:v>
                </c:pt>
                <c:pt idx="49">
                  <c:v>48.999999999999993</c:v>
                </c:pt>
                <c:pt idx="50">
                  <c:v>50</c:v>
                </c:pt>
                <c:pt idx="51">
                  <c:v>50.999999999999986</c:v>
                </c:pt>
                <c:pt idx="52">
                  <c:v>51.999999999999986</c:v>
                </c:pt>
                <c:pt idx="53">
                  <c:v>53</c:v>
                </c:pt>
                <c:pt idx="54">
                  <c:v>53.999999999999979</c:v>
                </c:pt>
                <c:pt idx="55">
                  <c:v>54.999999999999993</c:v>
                </c:pt>
                <c:pt idx="56">
                  <c:v>55.999999999999993</c:v>
                </c:pt>
                <c:pt idx="57">
                  <c:v>56.999999999999993</c:v>
                </c:pt>
                <c:pt idx="58">
                  <c:v>57.999999999999993</c:v>
                </c:pt>
                <c:pt idx="59">
                  <c:v>58.999999999999986</c:v>
                </c:pt>
                <c:pt idx="60">
                  <c:v>59.999999999999979</c:v>
                </c:pt>
                <c:pt idx="61">
                  <c:v>60.999999999999993</c:v>
                </c:pt>
                <c:pt idx="62">
                  <c:v>61.999999999999993</c:v>
                </c:pt>
                <c:pt idx="63">
                  <c:v>62.999999999999986</c:v>
                </c:pt>
                <c:pt idx="64">
                  <c:v>63.999999999999993</c:v>
                </c:pt>
                <c:pt idx="65">
                  <c:v>64.999999999999986</c:v>
                </c:pt>
                <c:pt idx="66">
                  <c:v>65.999999999999986</c:v>
                </c:pt>
                <c:pt idx="67">
                  <c:v>66.999999999999986</c:v>
                </c:pt>
                <c:pt idx="68">
                  <c:v>67.999999999999986</c:v>
                </c:pt>
                <c:pt idx="69">
                  <c:v>69</c:v>
                </c:pt>
                <c:pt idx="70">
                  <c:v>69.999999999999986</c:v>
                </c:pt>
                <c:pt idx="71">
                  <c:v>70.999999999999986</c:v>
                </c:pt>
                <c:pt idx="72">
                  <c:v>72</c:v>
                </c:pt>
                <c:pt idx="73">
                  <c:v>72.999999999999986</c:v>
                </c:pt>
                <c:pt idx="74">
                  <c:v>74</c:v>
                </c:pt>
                <c:pt idx="75">
                  <c:v>75</c:v>
                </c:pt>
                <c:pt idx="76">
                  <c:v>75.999999999999986</c:v>
                </c:pt>
                <c:pt idx="77">
                  <c:v>76.999999999999986</c:v>
                </c:pt>
                <c:pt idx="78">
                  <c:v>78</c:v>
                </c:pt>
                <c:pt idx="79">
                  <c:v>78.999999999999986</c:v>
                </c:pt>
                <c:pt idx="80">
                  <c:v>79.999999999999972</c:v>
                </c:pt>
                <c:pt idx="81">
                  <c:v>80.999999999999986</c:v>
                </c:pt>
                <c:pt idx="82">
                  <c:v>82</c:v>
                </c:pt>
                <c:pt idx="83">
                  <c:v>82.999999999999986</c:v>
                </c:pt>
                <c:pt idx="84">
                  <c:v>83.999999999999986</c:v>
                </c:pt>
                <c:pt idx="85">
                  <c:v>85</c:v>
                </c:pt>
                <c:pt idx="86">
                  <c:v>85.999999999999986</c:v>
                </c:pt>
                <c:pt idx="87">
                  <c:v>87</c:v>
                </c:pt>
                <c:pt idx="88">
                  <c:v>87.999999999999986</c:v>
                </c:pt>
                <c:pt idx="89">
                  <c:v>88.999999999999986</c:v>
                </c:pt>
                <c:pt idx="90" formatCode="General">
                  <c:v>90</c:v>
                </c:pt>
                <c:pt idx="91" formatCode="General">
                  <c:v>91.004272976680383</c:v>
                </c:pt>
                <c:pt idx="92" formatCode="General">
                  <c:v>92.016899862825767</c:v>
                </c:pt>
                <c:pt idx="93" formatCode="General">
                  <c:v>93.037592592592588</c:v>
                </c:pt>
                <c:pt idx="94" formatCode="General">
                  <c:v>94.066063100137171</c:v>
                </c:pt>
                <c:pt idx="95" formatCode="General">
                  <c:v>95.10202331961591</c:v>
                </c:pt>
                <c:pt idx="96" formatCode="General">
                  <c:v>96.14518518518517</c:v>
                </c:pt>
                <c:pt idx="97" formatCode="General">
                  <c:v>97.195260631001389</c:v>
                </c:pt>
                <c:pt idx="98" formatCode="General">
                  <c:v>98.251961591220834</c:v>
                </c:pt>
                <c:pt idx="99" formatCode="General">
                  <c:v>99.314999999999998</c:v>
                </c:pt>
                <c:pt idx="100" formatCode="General">
                  <c:v>100.38408779149515</c:v>
                </c:pt>
                <c:pt idx="101" formatCode="General">
                  <c:v>101.45893689986279</c:v>
                </c:pt>
                <c:pt idx="102" formatCode="General">
                  <c:v>102.53925925925925</c:v>
                </c:pt>
                <c:pt idx="103" formatCode="General">
                  <c:v>103.6247668038409</c:v>
                </c:pt>
                <c:pt idx="104" formatCode="General">
                  <c:v>104.71517146776405</c:v>
                </c:pt>
                <c:pt idx="105" formatCode="General">
                  <c:v>105.81018518518518</c:v>
                </c:pt>
                <c:pt idx="106" formatCode="General">
                  <c:v>106.9095198902606</c:v>
                </c:pt>
                <c:pt idx="107" formatCode="General">
                  <c:v>108.01288751714677</c:v>
                </c:pt>
                <c:pt idx="108" formatCode="General">
                  <c:v>109.12</c:v>
                </c:pt>
                <c:pt idx="109" formatCode="General">
                  <c:v>110.23056927297665</c:v>
                </c:pt>
                <c:pt idx="110" formatCode="General">
                  <c:v>111.34430727023317</c:v>
                </c:pt>
                <c:pt idx="111" formatCode="General">
                  <c:v>112.46092592592589</c:v>
                </c:pt>
                <c:pt idx="112" formatCode="General">
                  <c:v>113.58013717421122</c:v>
                </c:pt>
                <c:pt idx="113" formatCode="General">
                  <c:v>114.70165294924554</c:v>
                </c:pt>
                <c:pt idx="114" formatCode="General">
                  <c:v>115.82518518518521</c:v>
                </c:pt>
                <c:pt idx="115" formatCode="General">
                  <c:v>116.95044581618654</c:v>
                </c:pt>
                <c:pt idx="116" formatCode="General">
                  <c:v>118.07714677640602</c:v>
                </c:pt>
                <c:pt idx="117" formatCode="General">
                  <c:v>119.20499999999996</c:v>
                </c:pt>
                <c:pt idx="118" formatCode="General">
                  <c:v>120.33371742112482</c:v>
                </c:pt>
                <c:pt idx="119" formatCode="General">
                  <c:v>121.46301097393689</c:v>
                </c:pt>
                <c:pt idx="120" formatCode="General">
                  <c:v>122.59259259259258</c:v>
                </c:pt>
                <c:pt idx="121" formatCode="General">
                  <c:v>123.72217421124827</c:v>
                </c:pt>
                <c:pt idx="122" formatCode="General">
                  <c:v>124.85146776406032</c:v>
                </c:pt>
                <c:pt idx="123" formatCode="General">
                  <c:v>125.98018518518515</c:v>
                </c:pt>
                <c:pt idx="124" formatCode="General">
                  <c:v>127.10803840877914</c:v>
                </c:pt>
                <c:pt idx="125" formatCode="General">
                  <c:v>128.23473936899865</c:v>
                </c:pt>
                <c:pt idx="126" formatCode="General">
                  <c:v>129.35999999999999</c:v>
                </c:pt>
                <c:pt idx="127" formatCode="General">
                  <c:v>130.48353223593963</c:v>
                </c:pt>
                <c:pt idx="128" formatCode="General">
                  <c:v>131.60504801097392</c:v>
                </c:pt>
                <c:pt idx="129" formatCode="General">
                  <c:v>132.72425925925924</c:v>
                </c:pt>
                <c:pt idx="130" formatCode="General">
                  <c:v>133.84087791495196</c:v>
                </c:pt>
                <c:pt idx="131" formatCode="General">
                  <c:v>134.95461591220851</c:v>
                </c:pt>
                <c:pt idx="132" formatCode="General">
                  <c:v>136.06518518518519</c:v>
                </c:pt>
                <c:pt idx="133" formatCode="General">
                  <c:v>137.17229766803837</c:v>
                </c:pt>
                <c:pt idx="134" formatCode="General">
                  <c:v>138.27566529492452</c:v>
                </c:pt>
                <c:pt idx="135" formatCode="General">
                  <c:v>139.37499999999997</c:v>
                </c:pt>
                <c:pt idx="136" formatCode="General">
                  <c:v>140.4700137174211</c:v>
                </c:pt>
                <c:pt idx="137" formatCode="General">
                  <c:v>141.56041838134431</c:v>
                </c:pt>
                <c:pt idx="138" formatCode="General">
                  <c:v>142.64592592592592</c:v>
                </c:pt>
                <c:pt idx="139" formatCode="General">
                  <c:v>143.72624828532233</c:v>
                </c:pt>
                <c:pt idx="140" formatCode="General">
                  <c:v>144.80109739368999</c:v>
                </c:pt>
                <c:pt idx="141" formatCode="General">
                  <c:v>145.87018518518516</c:v>
                </c:pt>
                <c:pt idx="142" formatCode="General">
                  <c:v>146.93322359396433</c:v>
                </c:pt>
                <c:pt idx="143" formatCode="General">
                  <c:v>147.9899245541838</c:v>
                </c:pt>
                <c:pt idx="144" formatCode="General">
                  <c:v>149.03999999999996</c:v>
                </c:pt>
                <c:pt idx="145" formatCode="General">
                  <c:v>150.08316186556925</c:v>
                </c:pt>
                <c:pt idx="146" formatCode="General">
                  <c:v>151.11912208504796</c:v>
                </c:pt>
                <c:pt idx="147" formatCode="General">
                  <c:v>152.14759259259256</c:v>
                </c:pt>
                <c:pt idx="148" formatCode="General">
                  <c:v>153.16828532235937</c:v>
                </c:pt>
                <c:pt idx="149" formatCode="General">
                  <c:v>154.18091220850476</c:v>
                </c:pt>
                <c:pt idx="150" formatCode="General">
                  <c:v>155.18518518518519</c:v>
                </c:pt>
                <c:pt idx="151" formatCode="General">
                  <c:v>156.18081618655694</c:v>
                </c:pt>
                <c:pt idx="152" formatCode="General">
                  <c:v>157.16751714677639</c:v>
                </c:pt>
                <c:pt idx="153" formatCode="General">
                  <c:v>158.14499999999998</c:v>
                </c:pt>
                <c:pt idx="154" formatCode="General">
                  <c:v>159.11297668038407</c:v>
                </c:pt>
                <c:pt idx="155" formatCode="General">
                  <c:v>160.07115912208505</c:v>
                </c:pt>
                <c:pt idx="156" formatCode="General">
                  <c:v>161.01925925925923</c:v>
                </c:pt>
                <c:pt idx="157" formatCode="General">
                  <c:v>161.9569890260631</c:v>
                </c:pt>
                <c:pt idx="158" formatCode="General">
                  <c:v>162.88406035665295</c:v>
                </c:pt>
                <c:pt idx="159" formatCode="General">
                  <c:v>163.80018518518517</c:v>
                </c:pt>
                <c:pt idx="160" formatCode="General">
                  <c:v>164.70507544581616</c:v>
                </c:pt>
                <c:pt idx="161" formatCode="General">
                  <c:v>165.59844307270234</c:v>
                </c:pt>
                <c:pt idx="162" formatCode="General">
                  <c:v>166.48000000000002</c:v>
                </c:pt>
                <c:pt idx="163" formatCode="General">
                  <c:v>167.34945816186556</c:v>
                </c:pt>
                <c:pt idx="164" formatCode="General">
                  <c:v>168.20652949245542</c:v>
                </c:pt>
                <c:pt idx="165" formatCode="General">
                  <c:v>169.05092592592592</c:v>
                </c:pt>
                <c:pt idx="166" formatCode="General">
                  <c:v>169.88235939643346</c:v>
                </c:pt>
                <c:pt idx="167" formatCode="General">
                  <c:v>170.7005418381344</c:v>
                </c:pt>
                <c:pt idx="168" formatCode="General">
                  <c:v>171.50518518518518</c:v>
                </c:pt>
                <c:pt idx="169" formatCode="General">
                  <c:v>172.29600137174214</c:v>
                </c:pt>
                <c:pt idx="170" formatCode="General">
                  <c:v>173.07270233196158</c:v>
                </c:pt>
                <c:pt idx="171" formatCode="General">
                  <c:v>173.83500000000001</c:v>
                </c:pt>
                <c:pt idx="172" formatCode="General">
                  <c:v>174.58260631001369</c:v>
                </c:pt>
                <c:pt idx="173" formatCode="General">
                  <c:v>175.31523319615911</c:v>
                </c:pt>
                <c:pt idx="174" formatCode="General">
                  <c:v>176.03259259259258</c:v>
                </c:pt>
                <c:pt idx="175" formatCode="General">
                  <c:v>176.73439643347049</c:v>
                </c:pt>
                <c:pt idx="176" formatCode="General">
                  <c:v>177.42035665294924</c:v>
                </c:pt>
                <c:pt idx="177" formatCode="General">
                  <c:v>178.09018518518516</c:v>
                </c:pt>
                <c:pt idx="178" formatCode="General">
                  <c:v>178.74359396433471</c:v>
                </c:pt>
                <c:pt idx="179" formatCode="General">
                  <c:v>179.38029492455416</c:v>
                </c:pt>
                <c:pt idx="180" formatCode="General">
                  <c:v>180</c:v>
                </c:pt>
                <c:pt idx="181" formatCode="General">
                  <c:v>181.80486158388831</c:v>
                </c:pt>
                <c:pt idx="182" formatCode="General">
                  <c:v>183.47487887902346</c:v>
                </c:pt>
                <c:pt idx="183" formatCode="General">
                  <c:v>185.01840555486612</c:v>
                </c:pt>
                <c:pt idx="184" formatCode="General">
                  <c:v>186.44379528087725</c:v>
                </c:pt>
                <c:pt idx="185" formatCode="General">
                  <c:v>187.75940172651758</c:v>
                </c:pt>
                <c:pt idx="186" formatCode="General">
                  <c:v>188.97357856124793</c:v>
                </c:pt>
                <c:pt idx="187" formatCode="General">
                  <c:v>190.09467945452931</c:v>
                </c:pt>
                <c:pt idx="188" formatCode="General">
                  <c:v>191.13105807582244</c:v>
                </c:pt>
                <c:pt idx="189" formatCode="General">
                  <c:v>192.09106809458811</c:v>
                </c:pt>
                <c:pt idx="190" formatCode="General">
                  <c:v>192.98306318028716</c:v>
                </c:pt>
                <c:pt idx="191" formatCode="General">
                  <c:v>193.81539700238054</c:v>
                </c:pt>
                <c:pt idx="192" formatCode="General">
                  <c:v>194.59642323032898</c:v>
                </c:pt>
                <c:pt idx="193" formatCode="General">
                  <c:v>195.33449553359333</c:v>
                </c:pt>
                <c:pt idx="194" formatCode="General">
                  <c:v>196.03796758163446</c:v>
                </c:pt>
                <c:pt idx="195" formatCode="General">
                  <c:v>196.71519304391316</c:v>
                </c:pt>
                <c:pt idx="196" formatCode="General">
                  <c:v>197.37452558989034</c:v>
                </c:pt>
                <c:pt idx="197" formatCode="General">
                  <c:v>198.02431888902674</c:v>
                </c:pt>
                <c:pt idx="198" formatCode="General">
                  <c:v>198.67292661078332</c:v>
                </c:pt>
                <c:pt idx="199" formatCode="General">
                  <c:v>199.32870242462079</c:v>
                </c:pt>
                <c:pt idx="200" formatCode="General">
                  <c:v>200</c:v>
                </c:pt>
                <c:pt idx="201" formatCode="General">
                  <c:v>200.99999999999997</c:v>
                </c:pt>
                <c:pt idx="202" formatCode="General">
                  <c:v>202.00000000000003</c:v>
                </c:pt>
                <c:pt idx="203" formatCode="General">
                  <c:v>203</c:v>
                </c:pt>
                <c:pt idx="204" formatCode="General">
                  <c:v>204.00000000000006</c:v>
                </c:pt>
                <c:pt idx="205" formatCode="General">
                  <c:v>205</c:v>
                </c:pt>
                <c:pt idx="206" formatCode="General">
                  <c:v>205.99999999999997</c:v>
                </c:pt>
                <c:pt idx="207" formatCode="General">
                  <c:v>206.99999999999997</c:v>
                </c:pt>
                <c:pt idx="208" formatCode="General">
                  <c:v>208</c:v>
                </c:pt>
                <c:pt idx="209" formatCode="General">
                  <c:v>209.00000000000003</c:v>
                </c:pt>
                <c:pt idx="210" formatCode="General">
                  <c:v>210</c:v>
                </c:pt>
                <c:pt idx="211" formatCode="General">
                  <c:v>211</c:v>
                </c:pt>
                <c:pt idx="212" formatCode="General">
                  <c:v>212</c:v>
                </c:pt>
                <c:pt idx="213" formatCode="General">
                  <c:v>212.99999999999994</c:v>
                </c:pt>
                <c:pt idx="214" formatCode="General">
                  <c:v>213.99999999999997</c:v>
                </c:pt>
                <c:pt idx="215" formatCode="General">
                  <c:v>214.99999999999997</c:v>
                </c:pt>
                <c:pt idx="216" formatCode="General">
                  <c:v>216</c:v>
                </c:pt>
                <c:pt idx="217" formatCode="General">
                  <c:v>216.99999999999994</c:v>
                </c:pt>
                <c:pt idx="218" formatCode="General">
                  <c:v>217.99999999999997</c:v>
                </c:pt>
                <c:pt idx="219" formatCode="General">
                  <c:v>218.99999999999997</c:v>
                </c:pt>
                <c:pt idx="220" formatCode="General">
                  <c:v>220</c:v>
                </c:pt>
                <c:pt idx="221" formatCode="General">
                  <c:v>220.71874849973491</c:v>
                </c:pt>
                <c:pt idx="222" formatCode="General">
                  <c:v>221.50930070526942</c:v>
                </c:pt>
                <c:pt idx="223" formatCode="General">
                  <c:v>222.36462356915021</c:v>
                </c:pt>
                <c:pt idx="224" formatCode="General">
                  <c:v>223.27768404392424</c:v>
                </c:pt>
                <c:pt idx="225" formatCode="General">
                  <c:v>224.2414490821381</c:v>
                </c:pt>
                <c:pt idx="226" formatCode="General">
                  <c:v>225.24888563633888</c:v>
                </c:pt>
                <c:pt idx="227" formatCode="General">
                  <c:v>226.29296065907337</c:v>
                </c:pt>
                <c:pt idx="228" formatCode="General">
                  <c:v>227.36664110288842</c:v>
                </c:pt>
                <c:pt idx="229" formatCode="General">
                  <c:v>228.46289392033086</c:v>
                </c:pt>
                <c:pt idx="230" formatCode="General">
                  <c:v>229.57468606394741</c:v>
                </c:pt>
                <c:pt idx="231" formatCode="General">
                  <c:v>230.69498448628502</c:v>
                </c:pt>
                <c:pt idx="232" formatCode="General">
                  <c:v>231.81675613989054</c:v>
                </c:pt>
                <c:pt idx="233" formatCode="General">
                  <c:v>232.93296797731085</c:v>
                </c:pt>
                <c:pt idx="234" formatCode="General">
                  <c:v>234.03658695109269</c:v>
                </c:pt>
                <c:pt idx="235" formatCode="General">
                  <c:v>235.12058001378296</c:v>
                </c:pt>
                <c:pt idx="236" formatCode="General">
                  <c:v>236.17791411792851</c:v>
                </c:pt>
                <c:pt idx="237" formatCode="General">
                  <c:v>237.20155621607609</c:v>
                </c:pt>
                <c:pt idx="238" formatCode="General">
                  <c:v>238.18447326077271</c:v>
                </c:pt>
                <c:pt idx="239" formatCode="General">
                  <c:v>239.11963220456502</c:v>
                </c:pt>
                <c:pt idx="240" formatCode="General">
                  <c:v>240</c:v>
                </c:pt>
                <c:pt idx="241" formatCode="General">
                  <c:v>240.84425925925927</c:v>
                </c:pt>
                <c:pt idx="242" formatCode="General">
                  <c:v>241.70962962962966</c:v>
                </c:pt>
                <c:pt idx="243" formatCode="General">
                  <c:v>242.59500000000003</c:v>
                </c:pt>
                <c:pt idx="244" formatCode="General">
                  <c:v>243.4992592592593</c:v>
                </c:pt>
                <c:pt idx="245" formatCode="General">
                  <c:v>244.42129629629633</c:v>
                </c:pt>
                <c:pt idx="246" formatCode="General">
                  <c:v>245.3600000000001</c:v>
                </c:pt>
                <c:pt idx="247" formatCode="General">
                  <c:v>246.31425925925925</c:v>
                </c:pt>
                <c:pt idx="248" formatCode="General">
                  <c:v>247.28296296296298</c:v>
                </c:pt>
                <c:pt idx="249" formatCode="General">
                  <c:v>248.26500000000001</c:v>
                </c:pt>
                <c:pt idx="250" formatCode="General">
                  <c:v>249.25925925925932</c:v>
                </c:pt>
                <c:pt idx="251" formatCode="General">
                  <c:v>250.26462962962961</c:v>
                </c:pt>
                <c:pt idx="252" formatCode="General">
                  <c:v>251.28000000000003</c:v>
                </c:pt>
                <c:pt idx="253" formatCode="General">
                  <c:v>252.30425925925928</c:v>
                </c:pt>
                <c:pt idx="254" formatCode="General">
                  <c:v>253.33629629629635</c:v>
                </c:pt>
                <c:pt idx="255" formatCode="General">
                  <c:v>254.37500000000003</c:v>
                </c:pt>
                <c:pt idx="256" formatCode="General">
                  <c:v>255.41925925925929</c:v>
                </c:pt>
                <c:pt idx="257" formatCode="General">
                  <c:v>256.46796296296299</c:v>
                </c:pt>
                <c:pt idx="258" formatCode="General">
                  <c:v>257.52000000000004</c:v>
                </c:pt>
                <c:pt idx="259" formatCode="General">
                  <c:v>258.57425925925929</c:v>
                </c:pt>
                <c:pt idx="260" formatCode="General">
                  <c:v>259.62962962962962</c:v>
                </c:pt>
                <c:pt idx="261" formatCode="General">
                  <c:v>260.68500000000006</c:v>
                </c:pt>
                <c:pt idx="262" formatCode="General">
                  <c:v>261.73925925925926</c:v>
                </c:pt>
                <c:pt idx="263" formatCode="General">
                  <c:v>262.79129629629637</c:v>
                </c:pt>
                <c:pt idx="264" formatCode="General">
                  <c:v>263.84000000000003</c:v>
                </c:pt>
                <c:pt idx="265" formatCode="General">
                  <c:v>264.88425925925935</c:v>
                </c:pt>
                <c:pt idx="266" formatCode="General">
                  <c:v>265.92296296296303</c:v>
                </c:pt>
                <c:pt idx="267" formatCode="General">
                  <c:v>266.95499999999998</c:v>
                </c:pt>
                <c:pt idx="268" formatCode="General">
                  <c:v>267.97925925925932</c:v>
                </c:pt>
                <c:pt idx="269" formatCode="General">
                  <c:v>268.99462962962963</c:v>
                </c:pt>
                <c:pt idx="270" formatCode="General">
                  <c:v>270</c:v>
                </c:pt>
              </c:numCache>
            </c:numRef>
          </c:xVal>
          <c:yVal>
            <c:numRef>
              <c:f>Lead!$E$24:$E$294</c:f>
              <c:numCache>
                <c:formatCode>0.00</c:formatCode>
                <c:ptCount val="271"/>
                <c:pt idx="0" formatCode="General">
                  <c:v>25</c:v>
                </c:pt>
                <c:pt idx="1">
                  <c:v>26.394687928669363</c:v>
                </c:pt>
                <c:pt idx="2">
                  <c:v>27.800713305898533</c:v>
                </c:pt>
                <c:pt idx="3">
                  <c:v>29.217685185185193</c:v>
                </c:pt>
                <c:pt idx="4">
                  <c:v>30.645212620027394</c:v>
                </c:pt>
                <c:pt idx="5">
                  <c:v>32.082904663923188</c:v>
                </c:pt>
                <c:pt idx="6">
                  <c:v>33.530370370370349</c:v>
                </c:pt>
                <c:pt idx="7">
                  <c:v>34.987218792866898</c:v>
                </c:pt>
                <c:pt idx="8">
                  <c:v>36.453058984910861</c:v>
                </c:pt>
                <c:pt idx="9">
                  <c:v>37.927499999999974</c:v>
                </c:pt>
                <c:pt idx="10">
                  <c:v>39.410150891632441</c:v>
                </c:pt>
                <c:pt idx="11">
                  <c:v>40.900620713305912</c:v>
                </c:pt>
                <c:pt idx="12">
                  <c:v>42.3985185185185</c:v>
                </c:pt>
                <c:pt idx="13">
                  <c:v>43.903453360768118</c:v>
                </c:pt>
                <c:pt idx="14">
                  <c:v>45.415034293552814</c:v>
                </c:pt>
                <c:pt idx="15">
                  <c:v>46.932870370370303</c:v>
                </c:pt>
                <c:pt idx="16">
                  <c:v>48.456570644718781</c:v>
                </c:pt>
                <c:pt idx="17">
                  <c:v>49.985744170096019</c:v>
                </c:pt>
                <c:pt idx="18">
                  <c:v>51.519999999999925</c:v>
                </c:pt>
                <c:pt idx="19">
                  <c:v>53.058947187928695</c:v>
                </c:pt>
                <c:pt idx="20">
                  <c:v>54.602194787379958</c:v>
                </c:pt>
                <c:pt idx="21">
                  <c:v>56.149351851851911</c:v>
                </c:pt>
                <c:pt idx="22">
                  <c:v>57.700027434842291</c:v>
                </c:pt>
                <c:pt idx="23">
                  <c:v>59.253830589849095</c:v>
                </c:pt>
                <c:pt idx="24">
                  <c:v>60.81037037037035</c:v>
                </c:pt>
                <c:pt idx="25">
                  <c:v>62.369255829903963</c:v>
                </c:pt>
                <c:pt idx="26">
                  <c:v>63.930096021947882</c:v>
                </c:pt>
                <c:pt idx="27">
                  <c:v>65.492500000000064</c:v>
                </c:pt>
                <c:pt idx="28">
                  <c:v>67.056076817558292</c:v>
                </c:pt>
                <c:pt idx="29">
                  <c:v>68.620435528120694</c:v>
                </c:pt>
                <c:pt idx="30">
                  <c:v>70.185185185185162</c:v>
                </c:pt>
                <c:pt idx="31">
                  <c:v>71.749934842249672</c:v>
                </c:pt>
                <c:pt idx="32">
                  <c:v>73.314293552812131</c:v>
                </c:pt>
                <c:pt idx="33">
                  <c:v>74.877870370370417</c:v>
                </c:pt>
                <c:pt idx="34">
                  <c:v>76.440274348422491</c:v>
                </c:pt>
                <c:pt idx="35">
                  <c:v>78.001114540466347</c:v>
                </c:pt>
                <c:pt idx="36">
                  <c:v>79.559999999999988</c:v>
                </c:pt>
                <c:pt idx="37">
                  <c:v>81.116539780521251</c:v>
                </c:pt>
                <c:pt idx="38">
                  <c:v>82.670342935528168</c:v>
                </c:pt>
                <c:pt idx="39">
                  <c:v>84.221018518518548</c:v>
                </c:pt>
                <c:pt idx="40">
                  <c:v>85.768175582990409</c:v>
                </c:pt>
                <c:pt idx="41">
                  <c:v>87.311423182441672</c:v>
                </c:pt>
                <c:pt idx="42">
                  <c:v>88.850370370370356</c:v>
                </c:pt>
                <c:pt idx="43">
                  <c:v>90.384626200274383</c:v>
                </c:pt>
                <c:pt idx="44">
                  <c:v>91.913799725651614</c:v>
                </c:pt>
                <c:pt idx="45">
                  <c:v>93.4375</c:v>
                </c:pt>
                <c:pt idx="46">
                  <c:v>94.955336076817559</c:v>
                </c:pt>
                <c:pt idx="47">
                  <c:v>96.466917009602227</c:v>
                </c:pt>
                <c:pt idx="48">
                  <c:v>97.971851851851866</c:v>
                </c:pt>
                <c:pt idx="49">
                  <c:v>99.469749657064455</c:v>
                </c:pt>
                <c:pt idx="50">
                  <c:v>100.96021947873801</c:v>
                </c:pt>
                <c:pt idx="51">
                  <c:v>102.44287037037039</c:v>
                </c:pt>
                <c:pt idx="52">
                  <c:v>103.91731138545954</c:v>
                </c:pt>
                <c:pt idx="53">
                  <c:v>105.38315157750344</c:v>
                </c:pt>
                <c:pt idx="54">
                  <c:v>106.84000000000002</c:v>
                </c:pt>
                <c:pt idx="55">
                  <c:v>108.28746570644721</c:v>
                </c:pt>
                <c:pt idx="56">
                  <c:v>109.72515775034294</c:v>
                </c:pt>
                <c:pt idx="57">
                  <c:v>111.15268518518518</c:v>
                </c:pt>
                <c:pt idx="58">
                  <c:v>112.56965706447188</c:v>
                </c:pt>
                <c:pt idx="59">
                  <c:v>113.97568244170095</c:v>
                </c:pt>
                <c:pt idx="60">
                  <c:v>115.37037037037037</c:v>
                </c:pt>
                <c:pt idx="61">
                  <c:v>116.75332990397807</c:v>
                </c:pt>
                <c:pt idx="62">
                  <c:v>118.12417009602194</c:v>
                </c:pt>
                <c:pt idx="63">
                  <c:v>119.48249999999999</c:v>
                </c:pt>
                <c:pt idx="64">
                  <c:v>120.82792866941017</c:v>
                </c:pt>
                <c:pt idx="65">
                  <c:v>122.16006515775032</c:v>
                </c:pt>
                <c:pt idx="66">
                  <c:v>123.47851851851851</c:v>
                </c:pt>
                <c:pt idx="67">
                  <c:v>124.78289780521263</c:v>
                </c:pt>
                <c:pt idx="68">
                  <c:v>126.07281207133059</c:v>
                </c:pt>
                <c:pt idx="69">
                  <c:v>127.34787037037037</c:v>
                </c:pt>
                <c:pt idx="70">
                  <c:v>128.60768175582993</c:v>
                </c:pt>
                <c:pt idx="71">
                  <c:v>129.85185528120712</c:v>
                </c:pt>
                <c:pt idx="72">
                  <c:v>131.08000000000001</c:v>
                </c:pt>
                <c:pt idx="73">
                  <c:v>132.29172496570646</c:v>
                </c:pt>
                <c:pt idx="74">
                  <c:v>133.4866392318244</c:v>
                </c:pt>
                <c:pt idx="75">
                  <c:v>134.66435185185182</c:v>
                </c:pt>
                <c:pt idx="76">
                  <c:v>135.8244718792867</c:v>
                </c:pt>
                <c:pt idx="77">
                  <c:v>136.96660836762689</c:v>
                </c:pt>
                <c:pt idx="78">
                  <c:v>138.09037037037035</c:v>
                </c:pt>
                <c:pt idx="79">
                  <c:v>139.1953669410151</c:v>
                </c:pt>
                <c:pt idx="80">
                  <c:v>140.28120713305898</c:v>
                </c:pt>
                <c:pt idx="81">
                  <c:v>141.34750000000003</c:v>
                </c:pt>
                <c:pt idx="82">
                  <c:v>142.39385459533611</c:v>
                </c:pt>
                <c:pt idx="83">
                  <c:v>143.41987997256516</c:v>
                </c:pt>
                <c:pt idx="84">
                  <c:v>144.42518518518517</c:v>
                </c:pt>
                <c:pt idx="85">
                  <c:v>145.4093792866941</c:v>
                </c:pt>
                <c:pt idx="86">
                  <c:v>146.37207133058982</c:v>
                </c:pt>
                <c:pt idx="87">
                  <c:v>147.31287037037038</c:v>
                </c:pt>
                <c:pt idx="88">
                  <c:v>148.23138545953361</c:v>
                </c:pt>
                <c:pt idx="89">
                  <c:v>149.1272256515775</c:v>
                </c:pt>
                <c:pt idx="90" formatCode="General">
                  <c:v>150</c:v>
                </c:pt>
                <c:pt idx="91" formatCode="General">
                  <c:v>150.84944787379973</c:v>
                </c:pt>
                <c:pt idx="92" formatCode="General">
                  <c:v>151.67582990397804</c:v>
                </c:pt>
                <c:pt idx="93" formatCode="General">
                  <c:v>152.47953703703703</c:v>
                </c:pt>
                <c:pt idx="94" formatCode="General">
                  <c:v>153.2609602194787</c:v>
                </c:pt>
                <c:pt idx="95" formatCode="General">
                  <c:v>154.02049039780525</c:v>
                </c:pt>
                <c:pt idx="96" formatCode="General">
                  <c:v>154.75851851851851</c:v>
                </c:pt>
                <c:pt idx="97" formatCode="General">
                  <c:v>155.4754355281207</c:v>
                </c:pt>
                <c:pt idx="98" formatCode="General">
                  <c:v>156.17163237311388</c:v>
                </c:pt>
                <c:pt idx="99" formatCode="General">
                  <c:v>156.84749999999997</c:v>
                </c:pt>
                <c:pt idx="100" formatCode="General">
                  <c:v>157.50342935528121</c:v>
                </c:pt>
                <c:pt idx="101" formatCode="General">
                  <c:v>158.13981138545952</c:v>
                </c:pt>
                <c:pt idx="102" formatCode="General">
                  <c:v>158.75703703703704</c:v>
                </c:pt>
                <c:pt idx="103" formatCode="General">
                  <c:v>159.35549725651575</c:v>
                </c:pt>
                <c:pt idx="104" formatCode="General">
                  <c:v>159.93558299039779</c:v>
                </c:pt>
                <c:pt idx="105" formatCode="General">
                  <c:v>160.49768518518516</c:v>
                </c:pt>
                <c:pt idx="106" formatCode="General">
                  <c:v>161.04219478737997</c:v>
                </c:pt>
                <c:pt idx="107" formatCode="General">
                  <c:v>161.56950274348421</c:v>
                </c:pt>
                <c:pt idx="108" formatCode="General">
                  <c:v>162.07999999999998</c:v>
                </c:pt>
                <c:pt idx="109" formatCode="General">
                  <c:v>162.57407750342935</c:v>
                </c:pt>
                <c:pt idx="110" formatCode="General">
                  <c:v>163.05212620027433</c:v>
                </c:pt>
                <c:pt idx="111" formatCode="General">
                  <c:v>163.51453703703706</c:v>
                </c:pt>
                <c:pt idx="112" formatCode="General">
                  <c:v>163.96170096021947</c:v>
                </c:pt>
                <c:pt idx="113" formatCode="General">
                  <c:v>164.39400891632371</c:v>
                </c:pt>
                <c:pt idx="114" formatCode="General">
                  <c:v>164.81185185185183</c:v>
                </c:pt>
                <c:pt idx="115" formatCode="General">
                  <c:v>165.2156207133059</c:v>
                </c:pt>
                <c:pt idx="116" formatCode="General">
                  <c:v>165.60570644718791</c:v>
                </c:pt>
                <c:pt idx="117" formatCode="General">
                  <c:v>165.98250000000004</c:v>
                </c:pt>
                <c:pt idx="118" formatCode="General">
                  <c:v>166.34639231824417</c:v>
                </c:pt>
                <c:pt idx="119" formatCode="General">
                  <c:v>166.69777434842248</c:v>
                </c:pt>
                <c:pt idx="120" formatCode="General">
                  <c:v>167.03703703703701</c:v>
                </c:pt>
                <c:pt idx="121" formatCode="General">
                  <c:v>167.36457133058985</c:v>
                </c:pt>
                <c:pt idx="122" formatCode="General">
                  <c:v>167.68076817558301</c:v>
                </c:pt>
                <c:pt idx="123" formatCode="General">
                  <c:v>167.98601851851853</c:v>
                </c:pt>
                <c:pt idx="124" formatCode="General">
                  <c:v>168.2807133058985</c:v>
                </c:pt>
                <c:pt idx="125" formatCode="General">
                  <c:v>168.56524348422494</c:v>
                </c:pt>
                <c:pt idx="126" formatCode="General">
                  <c:v>168.84</c:v>
                </c:pt>
                <c:pt idx="127" formatCode="General">
                  <c:v>169.10537379972561</c:v>
                </c:pt>
                <c:pt idx="128" formatCode="General">
                  <c:v>169.36175582990398</c:v>
                </c:pt>
                <c:pt idx="129" formatCode="General">
                  <c:v>169.60953703703703</c:v>
                </c:pt>
                <c:pt idx="130" formatCode="General">
                  <c:v>169.84910836762688</c:v>
                </c:pt>
                <c:pt idx="131" formatCode="General">
                  <c:v>170.08086076817554</c:v>
                </c:pt>
                <c:pt idx="132" formatCode="General">
                  <c:v>170.30518518518517</c:v>
                </c:pt>
                <c:pt idx="133" formatCode="General">
                  <c:v>170.52247256515778</c:v>
                </c:pt>
                <c:pt idx="134" formatCode="General">
                  <c:v>170.73311385459533</c:v>
                </c:pt>
                <c:pt idx="135" formatCode="General">
                  <c:v>170.93749999999997</c:v>
                </c:pt>
                <c:pt idx="136" formatCode="General">
                  <c:v>171.13602194787381</c:v>
                </c:pt>
                <c:pt idx="137" formatCode="General">
                  <c:v>171.32907064471877</c:v>
                </c:pt>
                <c:pt idx="138" formatCode="General">
                  <c:v>171.51703703703703</c:v>
                </c:pt>
                <c:pt idx="139" formatCode="General">
                  <c:v>171.70031207133059</c:v>
                </c:pt>
                <c:pt idx="140" formatCode="General">
                  <c:v>171.87928669410149</c:v>
                </c:pt>
                <c:pt idx="141" formatCode="General">
                  <c:v>172.05435185185186</c:v>
                </c:pt>
                <c:pt idx="142" formatCode="General">
                  <c:v>172.22589849108365</c:v>
                </c:pt>
                <c:pt idx="143" formatCode="General">
                  <c:v>172.39431755829904</c:v>
                </c:pt>
                <c:pt idx="144" formatCode="General">
                  <c:v>172.56</c:v>
                </c:pt>
                <c:pt idx="145" formatCode="General">
                  <c:v>172.72333676268858</c:v>
                </c:pt>
                <c:pt idx="146" formatCode="General">
                  <c:v>172.88471879286692</c:v>
                </c:pt>
                <c:pt idx="147" formatCode="General">
                  <c:v>173.04453703703703</c:v>
                </c:pt>
                <c:pt idx="148" formatCode="General">
                  <c:v>173.20318244170096</c:v>
                </c:pt>
                <c:pt idx="149" formatCode="General">
                  <c:v>173.36104595336076</c:v>
                </c:pt>
                <c:pt idx="150" formatCode="General">
                  <c:v>173.5185185185185</c:v>
                </c:pt>
                <c:pt idx="151" formatCode="General">
                  <c:v>173.67599108367625</c:v>
                </c:pt>
                <c:pt idx="152" formatCode="General">
                  <c:v>173.83385459533608</c:v>
                </c:pt>
                <c:pt idx="153" formatCode="General">
                  <c:v>173.99250000000001</c:v>
                </c:pt>
                <c:pt idx="154" formatCode="General">
                  <c:v>174.15231824417009</c:v>
                </c:pt>
                <c:pt idx="155" formatCode="General">
                  <c:v>174.31370027434841</c:v>
                </c:pt>
                <c:pt idx="156" formatCode="General">
                  <c:v>174.47703703703704</c:v>
                </c:pt>
                <c:pt idx="157" formatCode="General">
                  <c:v>174.642719478738</c:v>
                </c:pt>
                <c:pt idx="158" formatCode="General">
                  <c:v>174.81113854595336</c:v>
                </c:pt>
                <c:pt idx="159" formatCode="General">
                  <c:v>174.98268518518518</c:v>
                </c:pt>
                <c:pt idx="160" formatCode="General">
                  <c:v>175.15775034293551</c:v>
                </c:pt>
                <c:pt idx="161" formatCode="General">
                  <c:v>175.33672496570645</c:v>
                </c:pt>
                <c:pt idx="162" formatCode="General">
                  <c:v>175.52</c:v>
                </c:pt>
                <c:pt idx="163" formatCode="General">
                  <c:v>175.70796639231821</c:v>
                </c:pt>
                <c:pt idx="164" formatCode="General">
                  <c:v>175.90101508916322</c:v>
                </c:pt>
                <c:pt idx="165" formatCode="General">
                  <c:v>176.09953703703701</c:v>
                </c:pt>
                <c:pt idx="166" formatCode="General">
                  <c:v>176.30392318244171</c:v>
                </c:pt>
                <c:pt idx="167" formatCode="General">
                  <c:v>176.51456447187928</c:v>
                </c:pt>
                <c:pt idx="168" formatCode="General">
                  <c:v>176.73185185185184</c:v>
                </c:pt>
                <c:pt idx="169" formatCode="General">
                  <c:v>176.95617626886144</c:v>
                </c:pt>
                <c:pt idx="170" formatCode="General">
                  <c:v>177.18792866941016</c:v>
                </c:pt>
                <c:pt idx="171" formatCode="General">
                  <c:v>177.42749999999995</c:v>
                </c:pt>
                <c:pt idx="172" formatCode="General">
                  <c:v>177.67528120713305</c:v>
                </c:pt>
                <c:pt idx="173" formatCode="General">
                  <c:v>177.93166323731134</c:v>
                </c:pt>
                <c:pt idx="174" formatCode="General">
                  <c:v>178.19703703703701</c:v>
                </c:pt>
                <c:pt idx="175" formatCode="General">
                  <c:v>178.47179355281207</c:v>
                </c:pt>
                <c:pt idx="176" formatCode="General">
                  <c:v>178.75632373113854</c:v>
                </c:pt>
                <c:pt idx="177" formatCode="General">
                  <c:v>179.0510185185185</c:v>
                </c:pt>
                <c:pt idx="178" formatCode="General">
                  <c:v>179.35626886145403</c:v>
                </c:pt>
                <c:pt idx="179" formatCode="General">
                  <c:v>179.67246570644718</c:v>
                </c:pt>
                <c:pt idx="180" formatCode="General">
                  <c:v>180</c:v>
                </c:pt>
                <c:pt idx="181" formatCode="General">
                  <c:v>181.11625432103224</c:v>
                </c:pt>
                <c:pt idx="182" formatCode="General">
                  <c:v>182.40482971400203</c:v>
                </c:pt>
                <c:pt idx="183" formatCode="General">
                  <c:v>183.84373838058602</c:v>
                </c:pt>
                <c:pt idx="184" formatCode="General">
                  <c:v>185.4109925224605</c:v>
                </c:pt>
                <c:pt idx="185" formatCode="General">
                  <c:v>187.08460434130217</c:v>
                </c:pt>
                <c:pt idx="186" formatCode="General">
                  <c:v>188.84258603878746</c:v>
                </c:pt>
                <c:pt idx="187" formatCode="General">
                  <c:v>190.6629498165928</c:v>
                </c:pt>
                <c:pt idx="188" formatCode="General">
                  <c:v>192.52370787639475</c:v>
                </c:pt>
                <c:pt idx="189" formatCode="General">
                  <c:v>194.40287241986979</c:v>
                </c:pt>
                <c:pt idx="190" formatCode="General">
                  <c:v>196.27845564869452</c:v>
                </c:pt>
                <c:pt idx="191" formatCode="General">
                  <c:v>198.12846976454529</c:v>
                </c:pt>
                <c:pt idx="192" formatCode="General">
                  <c:v>199.93092696909866</c:v>
                </c:pt>
                <c:pt idx="193" formatCode="General">
                  <c:v>201.66383946403118</c:v>
                </c:pt>
                <c:pt idx="194" formatCode="General">
                  <c:v>203.30521945101933</c:v>
                </c:pt>
                <c:pt idx="195" formatCode="General">
                  <c:v>204.83307913173957</c:v>
                </c:pt>
                <c:pt idx="196" formatCode="General">
                  <c:v>206.22543070786841</c:v>
                </c:pt>
                <c:pt idx="197" formatCode="General">
                  <c:v>207.46028638108237</c:v>
                </c:pt>
                <c:pt idx="198" formatCode="General">
                  <c:v>208.51565835305797</c:v>
                </c:pt>
                <c:pt idx="199" formatCode="General">
                  <c:v>209.36955882547167</c:v>
                </c:pt>
                <c:pt idx="200" formatCode="General">
                  <c:v>210</c:v>
                </c:pt>
                <c:pt idx="201" formatCode="General">
                  <c:v>210.71250000000001</c:v>
                </c:pt>
                <c:pt idx="202" formatCode="General">
                  <c:v>211.35</c:v>
                </c:pt>
                <c:pt idx="203" formatCode="General">
                  <c:v>211.91249999999999</c:v>
                </c:pt>
                <c:pt idx="204" formatCode="General">
                  <c:v>212.39999999999998</c:v>
                </c:pt>
                <c:pt idx="205" formatCode="General">
                  <c:v>212.8125</c:v>
                </c:pt>
                <c:pt idx="206" formatCode="General">
                  <c:v>213.15</c:v>
                </c:pt>
                <c:pt idx="207" formatCode="General">
                  <c:v>213.41249999999999</c:v>
                </c:pt>
                <c:pt idx="208" formatCode="General">
                  <c:v>213.6</c:v>
                </c:pt>
                <c:pt idx="209" formatCode="General">
                  <c:v>213.71249999999998</c:v>
                </c:pt>
                <c:pt idx="210" formatCode="General">
                  <c:v>213.75</c:v>
                </c:pt>
                <c:pt idx="211" formatCode="General">
                  <c:v>213.71250000000001</c:v>
                </c:pt>
                <c:pt idx="212" formatCode="General">
                  <c:v>213.6</c:v>
                </c:pt>
                <c:pt idx="213" formatCode="General">
                  <c:v>213.41249999999999</c:v>
                </c:pt>
                <c:pt idx="214" formatCode="General">
                  <c:v>213.15</c:v>
                </c:pt>
                <c:pt idx="215" formatCode="General">
                  <c:v>212.8125</c:v>
                </c:pt>
                <c:pt idx="216" formatCode="General">
                  <c:v>212.4</c:v>
                </c:pt>
                <c:pt idx="217" formatCode="General">
                  <c:v>211.91249999999999</c:v>
                </c:pt>
                <c:pt idx="218" formatCode="General">
                  <c:v>211.35</c:v>
                </c:pt>
                <c:pt idx="219" formatCode="General">
                  <c:v>210.71250000000001</c:v>
                </c:pt>
                <c:pt idx="220" formatCode="General">
                  <c:v>210</c:v>
                </c:pt>
                <c:pt idx="221" formatCode="General">
                  <c:v>209.47138285577751</c:v>
                </c:pt>
                <c:pt idx="222" formatCode="General">
                  <c:v>208.89970787113577</c:v>
                </c:pt>
                <c:pt idx="223" formatCode="General">
                  <c:v>208.27510954832405</c:v>
                </c:pt>
                <c:pt idx="224" formatCode="General">
                  <c:v>207.58772238959153</c:v>
                </c:pt>
                <c:pt idx="225" formatCode="General">
                  <c:v>206.82768089718746</c:v>
                </c:pt>
                <c:pt idx="226" formatCode="General">
                  <c:v>205.98511957336098</c:v>
                </c:pt>
                <c:pt idx="227" formatCode="General">
                  <c:v>205.05017292036135</c:v>
                </c:pt>
                <c:pt idx="228" formatCode="General">
                  <c:v>204.01297544043774</c:v>
                </c:pt>
                <c:pt idx="229" formatCode="General">
                  <c:v>202.86366163583941</c:v>
                </c:pt>
                <c:pt idx="230" formatCode="General">
                  <c:v>201.59236600881559</c:v>
                </c:pt>
                <c:pt idx="231" formatCode="General">
                  <c:v>200.18922306161539</c:v>
                </c:pt>
                <c:pt idx="232" formatCode="General">
                  <c:v>198.64436729648816</c:v>
                </c:pt>
                <c:pt idx="233" formatCode="General">
                  <c:v>196.94793321568301</c:v>
                </c:pt>
                <c:pt idx="234" formatCode="General">
                  <c:v>195.0900553214492</c:v>
                </c:pt>
                <c:pt idx="235" formatCode="General">
                  <c:v>193.06086811603589</c:v>
                </c:pt>
                <c:pt idx="236" formatCode="General">
                  <c:v>190.85050610169239</c:v>
                </c:pt>
                <c:pt idx="237" formatCode="General">
                  <c:v>188.44910378066783</c:v>
                </c:pt>
                <c:pt idx="238" formatCode="General">
                  <c:v>185.84679565521142</c:v>
                </c:pt>
                <c:pt idx="239" formatCode="General">
                  <c:v>183.03371622757243</c:v>
                </c:pt>
                <c:pt idx="240" formatCode="General">
                  <c:v>180</c:v>
                </c:pt>
                <c:pt idx="241" formatCode="General">
                  <c:v>176.78009259259258</c:v>
                </c:pt>
                <c:pt idx="242" formatCode="General">
                  <c:v>173.29629629629628</c:v>
                </c:pt>
                <c:pt idx="243" formatCode="General">
                  <c:v>169.56249999999997</c:v>
                </c:pt>
                <c:pt idx="244" formatCode="General">
                  <c:v>165.59259259259258</c:v>
                </c:pt>
                <c:pt idx="245" formatCode="General">
                  <c:v>161.40046296296296</c:v>
                </c:pt>
                <c:pt idx="246" formatCode="General">
                  <c:v>156.99999999999997</c:v>
                </c:pt>
                <c:pt idx="247" formatCode="General">
                  <c:v>152.40509259259261</c:v>
                </c:pt>
                <c:pt idx="248" formatCode="General">
                  <c:v>147.62962962962962</c:v>
                </c:pt>
                <c:pt idx="249" formatCode="General">
                  <c:v>142.68750000000003</c:v>
                </c:pt>
                <c:pt idx="250" formatCode="General">
                  <c:v>137.59259259259258</c:v>
                </c:pt>
                <c:pt idx="251" formatCode="General">
                  <c:v>132.35879629629633</c:v>
                </c:pt>
                <c:pt idx="252" formatCode="General">
                  <c:v>127</c:v>
                </c:pt>
                <c:pt idx="253" formatCode="General">
                  <c:v>121.5300925925926</c:v>
                </c:pt>
                <c:pt idx="254" formatCode="General">
                  <c:v>115.96296296296296</c:v>
                </c:pt>
                <c:pt idx="255" formatCode="General">
                  <c:v>110.31250000000001</c:v>
                </c:pt>
                <c:pt idx="256" formatCode="General">
                  <c:v>104.5925925925926</c:v>
                </c:pt>
                <c:pt idx="257" formatCode="General">
                  <c:v>98.817129629629633</c:v>
                </c:pt>
                <c:pt idx="258" formatCode="General">
                  <c:v>93</c:v>
                </c:pt>
                <c:pt idx="259" formatCode="General">
                  <c:v>87.155092592592609</c:v>
                </c:pt>
                <c:pt idx="260" formatCode="General">
                  <c:v>81.296296296296276</c:v>
                </c:pt>
                <c:pt idx="261" formatCode="General">
                  <c:v>75.437499999999986</c:v>
                </c:pt>
                <c:pt idx="262" formatCode="General">
                  <c:v>69.592592592592624</c:v>
                </c:pt>
                <c:pt idx="263" formatCode="General">
                  <c:v>63.775462962962933</c:v>
                </c:pt>
                <c:pt idx="264" formatCode="General">
                  <c:v>57.999999999999993</c:v>
                </c:pt>
                <c:pt idx="265" formatCode="General">
                  <c:v>52.28009259259256</c:v>
                </c:pt>
                <c:pt idx="266" formatCode="General">
                  <c:v>46.629629629629605</c:v>
                </c:pt>
                <c:pt idx="267" formatCode="General">
                  <c:v>41.0625</c:v>
                </c:pt>
                <c:pt idx="268" formatCode="General">
                  <c:v>35.592592592592595</c:v>
                </c:pt>
                <c:pt idx="269" formatCode="General">
                  <c:v>30.233796296296301</c:v>
                </c:pt>
                <c:pt idx="270" formatCode="General">
                  <c:v>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8889200"/>
        <c:axId val="-1988891920"/>
      </c:scatterChart>
      <c:valAx>
        <c:axId val="-198888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8891920"/>
        <c:crosses val="autoZero"/>
        <c:crossBetween val="midCat"/>
      </c:valAx>
      <c:valAx>
        <c:axId val="-198889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8889200"/>
        <c:crosses val="autoZero"/>
        <c:crossBetween val="midCat"/>
      </c:valAx>
      <c:spPr>
        <a:noFill/>
        <a:ln>
          <a:solidFill>
            <a:schemeClr val="accent1"/>
          </a:solidFill>
          <a:prstDash val="sysDot"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Lead!$B$1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Lead!$A$2:$A$8</c:f>
              <c:numCache>
                <c:formatCode>General</c:formatCode>
                <c:ptCount val="7"/>
                <c:pt idx="0">
                  <c:v>0</c:v>
                </c:pt>
                <c:pt idx="1">
                  <c:v>90</c:v>
                </c:pt>
                <c:pt idx="2">
                  <c:v>180</c:v>
                </c:pt>
                <c:pt idx="3">
                  <c:v>200</c:v>
                </c:pt>
                <c:pt idx="4">
                  <c:v>220</c:v>
                </c:pt>
                <c:pt idx="5">
                  <c:v>240</c:v>
                </c:pt>
                <c:pt idx="6">
                  <c:v>270</c:v>
                </c:pt>
              </c:numCache>
            </c:numRef>
          </c:xVal>
          <c:yVal>
            <c:numRef>
              <c:f>Lead!$B$2:$B$8</c:f>
              <c:numCache>
                <c:formatCode>General</c:formatCode>
                <c:ptCount val="7"/>
                <c:pt idx="0">
                  <c:v>25</c:v>
                </c:pt>
                <c:pt idx="1">
                  <c:v>150</c:v>
                </c:pt>
                <c:pt idx="2">
                  <c:v>180</c:v>
                </c:pt>
                <c:pt idx="3">
                  <c:v>210</c:v>
                </c:pt>
                <c:pt idx="4">
                  <c:v>210</c:v>
                </c:pt>
                <c:pt idx="5">
                  <c:v>180</c:v>
                </c:pt>
                <c:pt idx="6">
                  <c:v>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91223280"/>
        <c:axId val="-1891223824"/>
      </c:scatterChart>
      <c:valAx>
        <c:axId val="-1891223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1223824"/>
        <c:crosses val="autoZero"/>
        <c:crossBetween val="midCat"/>
      </c:valAx>
      <c:valAx>
        <c:axId val="-189122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1223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609599</xdr:colOff>
      <xdr:row>0</xdr:row>
      <xdr:rowOff>185737</xdr:rowOff>
    </xdr:from>
    <xdr:to>
      <xdr:col>14</xdr:col>
      <xdr:colOff>600074</xdr:colOff>
      <xdr:row>17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4762</xdr:colOff>
      <xdr:row>23</xdr:row>
      <xdr:rowOff>9526</xdr:rowOff>
    </xdr:from>
    <xdr:to>
      <xdr:col>15</xdr:col>
      <xdr:colOff>38100</xdr:colOff>
      <xdr:row>39</xdr:row>
      <xdr:rowOff>9525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247650</xdr:colOff>
      <xdr:row>0</xdr:row>
      <xdr:rowOff>171450</xdr:rowOff>
    </xdr:from>
    <xdr:to>
      <xdr:col>24</xdr:col>
      <xdr:colOff>247650</xdr:colOff>
      <xdr:row>16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609599</xdr:colOff>
      <xdr:row>0</xdr:row>
      <xdr:rowOff>185737</xdr:rowOff>
    </xdr:from>
    <xdr:to>
      <xdr:col>14</xdr:col>
      <xdr:colOff>600074</xdr:colOff>
      <xdr:row>17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4762</xdr:colOff>
      <xdr:row>23</xdr:row>
      <xdr:rowOff>9526</xdr:rowOff>
    </xdr:from>
    <xdr:to>
      <xdr:col>15</xdr:col>
      <xdr:colOff>38100</xdr:colOff>
      <xdr:row>39</xdr:row>
      <xdr:rowOff>9525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247650</xdr:colOff>
      <xdr:row>0</xdr:row>
      <xdr:rowOff>171450</xdr:rowOff>
    </xdr:from>
    <xdr:to>
      <xdr:col>24</xdr:col>
      <xdr:colOff>247650</xdr:colOff>
      <xdr:row>16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94"/>
  <sheetViews>
    <sheetView tabSelected="1" workbookViewId="0">
      <selection activeCell="B9" sqref="B9"/>
    </sheetView>
  </sheetViews>
  <sheetFormatPr defaultRowHeight="15" x14ac:dyDescent="0.25"/>
  <cols>
    <col min="1" max="1" width="5.42578125" bestFit="1" customWidth="1"/>
    <col min="2" max="2" width="12.5703125" bestFit="1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>
        <v>0</v>
      </c>
      <c r="B2">
        <v>25</v>
      </c>
    </row>
    <row r="3" spans="1:2" x14ac:dyDescent="0.25">
      <c r="A3">
        <v>90</v>
      </c>
      <c r="B3">
        <v>150</v>
      </c>
    </row>
    <row r="4" spans="1:2" x14ac:dyDescent="0.25">
      <c r="A4">
        <v>180</v>
      </c>
      <c r="B4">
        <v>217</v>
      </c>
    </row>
    <row r="5" spans="1:2" x14ac:dyDescent="0.25">
      <c r="A5">
        <v>200</v>
      </c>
      <c r="B5">
        <v>240</v>
      </c>
    </row>
    <row r="6" spans="1:2" x14ac:dyDescent="0.25">
      <c r="A6">
        <v>220</v>
      </c>
      <c r="B6">
        <v>240</v>
      </c>
    </row>
    <row r="7" spans="1:2" x14ac:dyDescent="0.25">
      <c r="A7">
        <v>240</v>
      </c>
      <c r="B7">
        <v>217</v>
      </c>
    </row>
    <row r="8" spans="1:2" x14ac:dyDescent="0.25">
      <c r="A8">
        <v>270</v>
      </c>
      <c r="B8">
        <v>25</v>
      </c>
    </row>
    <row r="19" spans="1:17" x14ac:dyDescent="0.25">
      <c r="G19" t="s">
        <v>5</v>
      </c>
      <c r="Q19" t="s">
        <v>7</v>
      </c>
    </row>
    <row r="23" spans="1:17" x14ac:dyDescent="0.25">
      <c r="A23" s="1" t="s">
        <v>0</v>
      </c>
      <c r="B23" s="1" t="s">
        <v>1</v>
      </c>
      <c r="C23" s="1" t="s">
        <v>2</v>
      </c>
      <c r="D23" s="1" t="s">
        <v>3</v>
      </c>
      <c r="E23" s="1" t="s">
        <v>4</v>
      </c>
    </row>
    <row r="24" spans="1:17" x14ac:dyDescent="0.25">
      <c r="A24" s="3">
        <v>0</v>
      </c>
      <c r="B24" s="3">
        <f>$B$2</f>
        <v>25</v>
      </c>
      <c r="C24" s="4">
        <v>0</v>
      </c>
      <c r="D24" s="3">
        <f>$A$24</f>
        <v>0</v>
      </c>
      <c r="E24" s="3">
        <f>$B$2</f>
        <v>25</v>
      </c>
    </row>
    <row r="25" spans="1:17" x14ac:dyDescent="0.25">
      <c r="A25">
        <f>A24+1</f>
        <v>1</v>
      </c>
      <c r="C25" s="2">
        <f>(ROW(C25)-ROW($C$24))/(ROW($C$114)-ROW($C$24))</f>
        <v>1.1111111111111112E-2</v>
      </c>
      <c r="D25" s="2">
        <f t="array" ref="D25:E25">FEvaluate_Bezier($A$2:$A$8,$B$2:$B$8,1,1,2,3,$C25, "Chart 1")</f>
        <v>1.0000000000000018</v>
      </c>
      <c r="E25" s="2">
        <v>26.392429355281166</v>
      </c>
    </row>
    <row r="26" spans="1:17" x14ac:dyDescent="0.25">
      <c r="A26">
        <f t="shared" ref="A26:A89" si="0">A25+1</f>
        <v>2</v>
      </c>
      <c r="C26" s="2">
        <f t="shared" ref="C26:C89" si="1">(ROW(C26)-ROW($C$24))/(ROW($C$114)-ROW($C$24))</f>
        <v>2.2222222222222223E-2</v>
      </c>
      <c r="D26" s="2">
        <f t="array" ref="D26:E26">FEvaluate_Bezier($A$2:$A$8,$B$2:$B$8,1,1,2,3,$C26, "Chart 1")</f>
        <v>1.9999999999999982</v>
      </c>
      <c r="E26" s="2">
        <v>27.791780521262034</v>
      </c>
    </row>
    <row r="27" spans="1:17" x14ac:dyDescent="0.25">
      <c r="A27">
        <f t="shared" si="0"/>
        <v>3</v>
      </c>
      <c r="C27" s="2">
        <f t="shared" si="1"/>
        <v>3.3333333333333333E-2</v>
      </c>
      <c r="D27" s="2">
        <f t="array" ref="D27:E27">FEvaluate_Bezier($A$2:$A$8,$B$2:$B$8,1,1,2,3,$C27, "Chart 1")</f>
        <v>3</v>
      </c>
      <c r="E27" s="2">
        <v>29.197814814814848</v>
      </c>
    </row>
    <row r="28" spans="1:17" x14ac:dyDescent="0.25">
      <c r="A28">
        <f t="shared" si="0"/>
        <v>4</v>
      </c>
      <c r="C28" s="2">
        <f t="shared" si="1"/>
        <v>4.4444444444444446E-2</v>
      </c>
      <c r="D28" s="2">
        <f t="array" ref="D28:E28">FEvaluate_Bezier($A$2:$A$8,$B$2:$B$8,1,1,2,3,$C28, "Chart 1")</f>
        <v>4.0000000000000018</v>
      </c>
      <c r="E28" s="2">
        <v>30.610293552812017</v>
      </c>
    </row>
    <row r="29" spans="1:17" x14ac:dyDescent="0.25">
      <c r="A29">
        <f t="shared" si="0"/>
        <v>5</v>
      </c>
      <c r="C29" s="2">
        <f t="shared" si="1"/>
        <v>5.5555555555555552E-2</v>
      </c>
      <c r="D29" s="2">
        <f t="array" ref="D29:E29">FEvaluate_Bezier($A$2:$A$8,$B$2:$B$8,1,1,2,3,$C29, "Chart 1")</f>
        <v>4.9999999999999956</v>
      </c>
      <c r="E29" s="2">
        <v>32.028978052126241</v>
      </c>
    </row>
    <row r="30" spans="1:17" x14ac:dyDescent="0.25">
      <c r="A30">
        <f t="shared" si="0"/>
        <v>6</v>
      </c>
      <c r="C30" s="2">
        <f t="shared" si="1"/>
        <v>6.6666666666666666E-2</v>
      </c>
      <c r="D30" s="2">
        <f t="array" ref="D30:E30">FEvaluate_Bezier($A$2:$A$8,$B$2:$B$8,1,1,2,3,$C30, "Chart 1")</f>
        <v>6</v>
      </c>
      <c r="E30" s="2">
        <v>33.453629629629603</v>
      </c>
    </row>
    <row r="31" spans="1:17" x14ac:dyDescent="0.25">
      <c r="A31">
        <f t="shared" si="0"/>
        <v>7</v>
      </c>
      <c r="C31" s="2">
        <f t="shared" si="1"/>
        <v>7.7777777777777779E-2</v>
      </c>
      <c r="D31" s="2">
        <f t="array" ref="D31:E31">FEvaluate_Bezier($A$2:$A$8,$B$2:$B$8,1,1,2,3,$C31, "Chart 1")</f>
        <v>7.0000000000000044</v>
      </c>
      <c r="E31" s="2">
        <v>34.884009602194752</v>
      </c>
    </row>
    <row r="32" spans="1:17" x14ac:dyDescent="0.25">
      <c r="A32">
        <f t="shared" si="0"/>
        <v>8</v>
      </c>
      <c r="C32" s="2">
        <f t="shared" si="1"/>
        <v>8.8888888888888892E-2</v>
      </c>
      <c r="D32" s="2">
        <f t="array" ref="D32:E32">FEvaluate_Bezier($A$2:$A$8,$B$2:$B$8,1,1,2,3,$C32, "Chart 1")</f>
        <v>7.9999999999999982</v>
      </c>
      <c r="E32" s="2">
        <v>36.31987928669411</v>
      </c>
    </row>
    <row r="33" spans="1:7" x14ac:dyDescent="0.25">
      <c r="A33">
        <f t="shared" si="0"/>
        <v>9</v>
      </c>
      <c r="C33" s="2">
        <f t="shared" si="1"/>
        <v>0.1</v>
      </c>
      <c r="D33" s="2">
        <f t="array" ref="D33:E33">FEvaluate_Bezier($A$2:$A$8,$B$2:$B$8,1,1,2,3,$C33, "Chart 1")</f>
        <v>9.0000000000000036</v>
      </c>
      <c r="E33" s="2">
        <v>37.760999999999946</v>
      </c>
    </row>
    <row r="34" spans="1:7" x14ac:dyDescent="0.25">
      <c r="A34">
        <f t="shared" si="0"/>
        <v>10</v>
      </c>
      <c r="C34" s="2">
        <f t="shared" si="1"/>
        <v>0.1111111111111111</v>
      </c>
      <c r="D34" s="2">
        <f t="array" ref="D34:E34">FEvaluate_Bezier($A$2:$A$8,$B$2:$B$8,1,1,2,3,$C34, "Chart 1")</f>
        <v>9.9999999999999911</v>
      </c>
      <c r="E34" s="2">
        <v>39.207133058984986</v>
      </c>
    </row>
    <row r="35" spans="1:7" x14ac:dyDescent="0.25">
      <c r="A35">
        <f t="shared" si="0"/>
        <v>11</v>
      </c>
      <c r="C35" s="2">
        <f t="shared" si="1"/>
        <v>0.12222222222222222</v>
      </c>
      <c r="D35" s="2">
        <f t="array" ref="D35:E35">FEvaluate_Bezier($A$2:$A$8,$B$2:$B$8,1,1,2,3,$C35, "Chart 1")</f>
        <v>10.999999999999996</v>
      </c>
      <c r="E35" s="2">
        <v>40.65803978052125</v>
      </c>
    </row>
    <row r="36" spans="1:7" x14ac:dyDescent="0.25">
      <c r="A36">
        <f t="shared" si="0"/>
        <v>12</v>
      </c>
      <c r="C36" s="2">
        <f t="shared" si="1"/>
        <v>0.13333333333333333</v>
      </c>
      <c r="D36" s="2">
        <f t="array" ref="D36:E36">FEvaluate_Bezier($A$2:$A$8,$B$2:$B$8,1,1,2,3,$C36, "Chart 1")</f>
        <v>12</v>
      </c>
      <c r="E36" s="2">
        <v>42.113481481481429</v>
      </c>
    </row>
    <row r="37" spans="1:7" x14ac:dyDescent="0.25">
      <c r="A37">
        <f t="shared" si="0"/>
        <v>13</v>
      </c>
      <c r="C37" s="2">
        <f t="shared" si="1"/>
        <v>0.14444444444444443</v>
      </c>
      <c r="D37" s="2">
        <f t="array" ref="D37:E37">FEvaluate_Bezier($A$2:$A$8,$B$2:$B$8,1,1,2,3,$C37, "Chart 1")</f>
        <v>13.000000000000005</v>
      </c>
      <c r="E37" s="2">
        <v>43.573219478737933</v>
      </c>
    </row>
    <row r="38" spans="1:7" x14ac:dyDescent="0.25">
      <c r="A38">
        <f t="shared" si="0"/>
        <v>14</v>
      </c>
      <c r="C38" s="2">
        <f t="shared" si="1"/>
        <v>0.15555555555555556</v>
      </c>
      <c r="D38" s="2">
        <f t="array" ref="D38:E38">FEvaluate_Bezier($A$2:$A$8,$B$2:$B$8,1,1,2,3,$C38, "Chart 1")</f>
        <v>13.999999999999998</v>
      </c>
      <c r="E38" s="2">
        <v>45.037015089163233</v>
      </c>
    </row>
    <row r="39" spans="1:7" x14ac:dyDescent="0.25">
      <c r="A39">
        <f t="shared" si="0"/>
        <v>15</v>
      </c>
      <c r="C39" s="2">
        <f t="shared" si="1"/>
        <v>0.16666666666666666</v>
      </c>
      <c r="D39" s="2">
        <f t="array" ref="D39:E39">FEvaluate_Bezier($A$2:$A$8,$B$2:$B$8,1,1,2,3,$C39, "Chart 1")</f>
        <v>14.999999999999998</v>
      </c>
      <c r="E39" s="2">
        <v>46.504629629629569</v>
      </c>
    </row>
    <row r="40" spans="1:7" x14ac:dyDescent="0.25">
      <c r="A40">
        <f t="shared" si="0"/>
        <v>16</v>
      </c>
      <c r="C40" s="2">
        <f t="shared" si="1"/>
        <v>0.17777777777777778</v>
      </c>
      <c r="D40" s="2">
        <f t="array" ref="D40:E40">FEvaluate_Bezier($A$2:$A$8,$B$2:$B$8,1,1,2,3,$C40, "Chart 1")</f>
        <v>15.999999999999996</v>
      </c>
      <c r="E40" s="2">
        <v>47.97582441700964</v>
      </c>
    </row>
    <row r="41" spans="1:7" x14ac:dyDescent="0.25">
      <c r="A41">
        <f t="shared" si="0"/>
        <v>17</v>
      </c>
      <c r="C41" s="2">
        <f t="shared" si="1"/>
        <v>0.18888888888888888</v>
      </c>
      <c r="D41" s="2">
        <f t="array" ref="D41:E41">FEvaluate_Bezier($A$2:$A$8,$B$2:$B$8,1,1,2,3,$C41, "Chart 1")</f>
        <v>16.999999999999996</v>
      </c>
      <c r="E41" s="2">
        <v>49.450360768175585</v>
      </c>
      <c r="G41" t="s">
        <v>6</v>
      </c>
    </row>
    <row r="42" spans="1:7" x14ac:dyDescent="0.25">
      <c r="A42">
        <f t="shared" si="0"/>
        <v>18</v>
      </c>
      <c r="C42" s="2">
        <f t="shared" si="1"/>
        <v>0.2</v>
      </c>
      <c r="D42" s="2">
        <f t="array" ref="D42:E42">FEvaluate_Bezier($A$2:$A$8,$B$2:$B$8,1,1,2,3,$C42, "Chart 1")</f>
        <v>18.000000000000007</v>
      </c>
      <c r="E42" s="2">
        <v>50.927999999999905</v>
      </c>
    </row>
    <row r="43" spans="1:7" x14ac:dyDescent="0.25">
      <c r="A43">
        <f t="shared" si="0"/>
        <v>19</v>
      </c>
      <c r="C43" s="2">
        <f t="shared" si="1"/>
        <v>0.21111111111111111</v>
      </c>
      <c r="D43" s="2">
        <f t="array" ref="D43:E43">FEvaluate_Bezier($A$2:$A$8,$B$2:$B$8,1,1,2,3,$C43, "Chart 1")</f>
        <v>18.999999999999993</v>
      </c>
      <c r="E43" s="2">
        <v>52.408503429355314</v>
      </c>
    </row>
    <row r="44" spans="1:7" x14ac:dyDescent="0.25">
      <c r="A44">
        <f t="shared" si="0"/>
        <v>20</v>
      </c>
      <c r="C44" s="2">
        <f t="shared" si="1"/>
        <v>0.22222222222222221</v>
      </c>
      <c r="D44" s="2">
        <f t="array" ref="D44:E44">FEvaluate_Bezier($A$2:$A$8,$B$2:$B$8,1,1,2,3,$C44, "Chart 1")</f>
        <v>20</v>
      </c>
      <c r="E44" s="2">
        <v>53.891632373113843</v>
      </c>
    </row>
    <row r="45" spans="1:7" x14ac:dyDescent="0.25">
      <c r="A45">
        <f t="shared" si="0"/>
        <v>21</v>
      </c>
      <c r="C45" s="2">
        <f t="shared" si="1"/>
        <v>0.23333333333333334</v>
      </c>
      <c r="D45" s="2">
        <f t="array" ref="D45:E45">FEvaluate_Bezier($A$2:$A$8,$B$2:$B$8,1,1,2,3,$C45, "Chart 1")</f>
        <v>20.999999999999993</v>
      </c>
      <c r="E45" s="2">
        <v>55.377148148148194</v>
      </c>
    </row>
    <row r="46" spans="1:7" x14ac:dyDescent="0.25">
      <c r="A46">
        <f t="shared" si="0"/>
        <v>22</v>
      </c>
      <c r="C46" s="2">
        <f t="shared" si="1"/>
        <v>0.24444444444444444</v>
      </c>
      <c r="D46" s="2">
        <f t="array" ref="D46:E46">FEvaluate_Bezier($A$2:$A$8,$B$2:$B$8,1,1,2,3,$C46, "Chart 1")</f>
        <v>21.999999999999993</v>
      </c>
      <c r="E46" s="2">
        <v>56.864812071330604</v>
      </c>
    </row>
    <row r="47" spans="1:7" x14ac:dyDescent="0.25">
      <c r="A47">
        <f t="shared" si="0"/>
        <v>23</v>
      </c>
      <c r="C47" s="2">
        <f t="shared" si="1"/>
        <v>0.25555555555555554</v>
      </c>
      <c r="D47" s="2">
        <f t="array" ref="D47:E47">FEvaluate_Bezier($A$2:$A$8,$B$2:$B$8,1,1,2,3,$C47, "Chart 1")</f>
        <v>23</v>
      </c>
      <c r="E47" s="2">
        <v>58.354385459533617</v>
      </c>
    </row>
    <row r="48" spans="1:7" x14ac:dyDescent="0.25">
      <c r="A48">
        <f t="shared" si="0"/>
        <v>24</v>
      </c>
      <c r="C48" s="2">
        <f t="shared" si="1"/>
        <v>0.26666666666666666</v>
      </c>
      <c r="D48" s="2">
        <f t="array" ref="D48:E48">FEvaluate_Bezier($A$2:$A$8,$B$2:$B$8,1,1,2,3,$C48, "Chart 1")</f>
        <v>24</v>
      </c>
      <c r="E48" s="2">
        <v>59.845629629629606</v>
      </c>
    </row>
    <row r="49" spans="1:5" x14ac:dyDescent="0.25">
      <c r="A49">
        <f t="shared" si="0"/>
        <v>25</v>
      </c>
      <c r="C49" s="2">
        <f t="shared" si="1"/>
        <v>0.27777777777777779</v>
      </c>
      <c r="D49" s="2">
        <f t="array" ref="D49:E49">FEvaluate_Bezier($A$2:$A$8,$B$2:$B$8,1,1,2,3,$C49, "Chart 1")</f>
        <v>25</v>
      </c>
      <c r="E49" s="2">
        <v>61.338305898491065</v>
      </c>
    </row>
    <row r="50" spans="1:5" x14ac:dyDescent="0.25">
      <c r="A50">
        <f t="shared" si="0"/>
        <v>26</v>
      </c>
      <c r="C50" s="2">
        <f t="shared" si="1"/>
        <v>0.28888888888888886</v>
      </c>
      <c r="D50" s="2">
        <f t="array" ref="D50:E50">FEvaluate_Bezier($A$2:$A$8,$B$2:$B$8,1,1,2,3,$C50, "Chart 1")</f>
        <v>25.999999999999993</v>
      </c>
      <c r="E50" s="2">
        <v>62.832175582990367</v>
      </c>
    </row>
    <row r="51" spans="1:5" x14ac:dyDescent="0.25">
      <c r="A51">
        <f t="shared" si="0"/>
        <v>27</v>
      </c>
      <c r="C51" s="2">
        <f t="shared" si="1"/>
        <v>0.3</v>
      </c>
      <c r="D51" s="2">
        <f t="array" ref="D51:E51">FEvaluate_Bezier($A$2:$A$8,$B$2:$B$8,1,1,2,3,$C51, "Chart 1")</f>
        <v>26.999999999999986</v>
      </c>
      <c r="E51" s="2">
        <v>64.327000000000055</v>
      </c>
    </row>
    <row r="52" spans="1:5" x14ac:dyDescent="0.25">
      <c r="A52">
        <f t="shared" si="0"/>
        <v>28</v>
      </c>
      <c r="C52" s="2">
        <f t="shared" si="1"/>
        <v>0.31111111111111112</v>
      </c>
      <c r="D52" s="2">
        <f t="array" ref="D52:E52">FEvaluate_Bezier($A$2:$A$8,$B$2:$B$8,1,1,2,3,$C52, "Chart 1")</f>
        <v>27.999999999999996</v>
      </c>
      <c r="E52" s="2">
        <v>65.822540466392297</v>
      </c>
    </row>
    <row r="53" spans="1:5" x14ac:dyDescent="0.25">
      <c r="A53">
        <f t="shared" si="0"/>
        <v>29</v>
      </c>
      <c r="C53" s="2">
        <f t="shared" si="1"/>
        <v>0.32222222222222224</v>
      </c>
      <c r="D53" s="2">
        <f t="array" ref="D53:E53">FEvaluate_Bezier($A$2:$A$8,$B$2:$B$8,1,1,2,3,$C53, "Chart 1")</f>
        <v>29.000000000000004</v>
      </c>
      <c r="E53" s="2">
        <v>67.318558299039736</v>
      </c>
    </row>
    <row r="54" spans="1:5" x14ac:dyDescent="0.25">
      <c r="A54">
        <f t="shared" si="0"/>
        <v>30</v>
      </c>
      <c r="C54" s="2">
        <f t="shared" si="1"/>
        <v>0.33333333333333331</v>
      </c>
      <c r="D54" s="2">
        <f t="array" ref="D54:E54">FEvaluate_Bezier($A$2:$A$8,$B$2:$B$8,1,1,2,3,$C54, "Chart 1")</f>
        <v>30</v>
      </c>
      <c r="E54" s="2">
        <v>68.814814814814767</v>
      </c>
    </row>
    <row r="55" spans="1:5" x14ac:dyDescent="0.25">
      <c r="A55">
        <f t="shared" si="0"/>
        <v>31</v>
      </c>
      <c r="C55" s="2">
        <f t="shared" si="1"/>
        <v>0.34444444444444444</v>
      </c>
      <c r="D55" s="2">
        <f t="array" ref="D55:E55">FEvaluate_Bezier($A$2:$A$8,$B$2:$B$8,1,1,2,3,$C55, "Chart 1")</f>
        <v>30.999999999999996</v>
      </c>
      <c r="E55" s="2">
        <v>70.311071330589854</v>
      </c>
    </row>
    <row r="56" spans="1:5" x14ac:dyDescent="0.25">
      <c r="A56">
        <f t="shared" si="0"/>
        <v>32</v>
      </c>
      <c r="C56" s="2">
        <f t="shared" si="1"/>
        <v>0.35555555555555557</v>
      </c>
      <c r="D56" s="2">
        <f t="array" ref="D56:E56">FEvaluate_Bezier($A$2:$A$8,$B$2:$B$8,1,1,2,3,$C56, "Chart 1")</f>
        <v>31.999999999999993</v>
      </c>
      <c r="E56" s="2">
        <v>71.807089163237393</v>
      </c>
    </row>
    <row r="57" spans="1:5" x14ac:dyDescent="0.25">
      <c r="A57">
        <f t="shared" si="0"/>
        <v>33</v>
      </c>
      <c r="C57" s="2">
        <f t="shared" si="1"/>
        <v>0.36666666666666664</v>
      </c>
      <c r="D57" s="2">
        <f t="array" ref="D57:E57">FEvaluate_Bezier($A$2:$A$8,$B$2:$B$8,1,1,2,3,$C57, "Chart 1")</f>
        <v>32.999999999999986</v>
      </c>
      <c r="E57" s="2">
        <v>73.302629629629664</v>
      </c>
    </row>
    <row r="58" spans="1:5" x14ac:dyDescent="0.25">
      <c r="A58">
        <f t="shared" si="0"/>
        <v>34</v>
      </c>
      <c r="C58" s="2">
        <f t="shared" si="1"/>
        <v>0.37777777777777777</v>
      </c>
      <c r="D58" s="2">
        <f t="array" ref="D58:E58">FEvaluate_Bezier($A$2:$A$8,$B$2:$B$8,1,1,2,3,$C58, "Chart 1")</f>
        <v>33.999999999999993</v>
      </c>
      <c r="E58" s="2">
        <v>74.79745404663926</v>
      </c>
    </row>
    <row r="59" spans="1:5" x14ac:dyDescent="0.25">
      <c r="A59">
        <f t="shared" si="0"/>
        <v>35</v>
      </c>
      <c r="C59" s="2">
        <f t="shared" si="1"/>
        <v>0.3888888888888889</v>
      </c>
      <c r="D59" s="2">
        <f t="array" ref="D59:E59">FEvaluate_Bezier($A$2:$A$8,$B$2:$B$8,1,1,2,3,$C59, "Chart 1")</f>
        <v>35</v>
      </c>
      <c r="E59" s="2">
        <v>76.291323731138533</v>
      </c>
    </row>
    <row r="60" spans="1:5" x14ac:dyDescent="0.25">
      <c r="A60">
        <f t="shared" si="0"/>
        <v>36</v>
      </c>
      <c r="C60" s="2">
        <f t="shared" si="1"/>
        <v>0.4</v>
      </c>
      <c r="D60" s="2">
        <f t="array" ref="D60:E60">FEvaluate_Bezier($A$2:$A$8,$B$2:$B$8,1,1,2,3,$C60, "Chart 1")</f>
        <v>36</v>
      </c>
      <c r="E60" s="2">
        <v>77.783999999999992</v>
      </c>
    </row>
    <row r="61" spans="1:5" x14ac:dyDescent="0.25">
      <c r="A61">
        <f t="shared" si="0"/>
        <v>37</v>
      </c>
      <c r="C61" s="2">
        <f t="shared" si="1"/>
        <v>0.41111111111111109</v>
      </c>
      <c r="D61" s="2">
        <f t="array" ref="D61:E61">FEvaluate_Bezier($A$2:$A$8,$B$2:$B$8,1,1,2,3,$C61, "Chart 1")</f>
        <v>36.999999999999986</v>
      </c>
      <c r="E61" s="2">
        <v>79.275244170096045</v>
      </c>
    </row>
    <row r="62" spans="1:5" x14ac:dyDescent="0.25">
      <c r="A62">
        <f t="shared" si="0"/>
        <v>38</v>
      </c>
      <c r="C62" s="2">
        <f t="shared" si="1"/>
        <v>0.42222222222222222</v>
      </c>
      <c r="D62" s="2">
        <f t="array" ref="D62:E62">FEvaluate_Bezier($A$2:$A$8,$B$2:$B$8,1,1,2,3,$C62, "Chart 1")</f>
        <v>37.999999999999986</v>
      </c>
      <c r="E62" s="2">
        <v>80.764817558299086</v>
      </c>
    </row>
    <row r="63" spans="1:5" x14ac:dyDescent="0.25">
      <c r="A63">
        <f t="shared" si="0"/>
        <v>39</v>
      </c>
      <c r="C63" s="2">
        <f t="shared" si="1"/>
        <v>0.43333333333333335</v>
      </c>
      <c r="D63" s="2">
        <f t="array" ref="D63:E63">FEvaluate_Bezier($A$2:$A$8,$B$2:$B$8,1,1,2,3,$C63, "Chart 1")</f>
        <v>39</v>
      </c>
      <c r="E63" s="2">
        <v>82.252481481481496</v>
      </c>
    </row>
    <row r="64" spans="1:5" x14ac:dyDescent="0.25">
      <c r="A64">
        <f t="shared" si="0"/>
        <v>40</v>
      </c>
      <c r="C64" s="2">
        <f t="shared" si="1"/>
        <v>0.44444444444444442</v>
      </c>
      <c r="D64" s="2">
        <f t="array" ref="D64:E64">FEvaluate_Bezier($A$2:$A$8,$B$2:$B$8,1,1,2,3,$C64, "Chart 1")</f>
        <v>39.999999999999986</v>
      </c>
      <c r="E64" s="2">
        <v>83.737997256515783</v>
      </c>
    </row>
    <row r="65" spans="1:5" x14ac:dyDescent="0.25">
      <c r="A65">
        <f t="shared" si="0"/>
        <v>41</v>
      </c>
      <c r="C65" s="2">
        <f t="shared" si="1"/>
        <v>0.45555555555555555</v>
      </c>
      <c r="D65" s="2">
        <f t="array" ref="D65:E65">FEvaluate_Bezier($A$2:$A$8,$B$2:$B$8,1,1,2,3,$C65, "Chart 1")</f>
        <v>41</v>
      </c>
      <c r="E65" s="2">
        <v>85.221126200274284</v>
      </c>
    </row>
    <row r="66" spans="1:5" x14ac:dyDescent="0.25">
      <c r="A66">
        <f t="shared" si="0"/>
        <v>42</v>
      </c>
      <c r="C66" s="2">
        <f t="shared" si="1"/>
        <v>0.46666666666666667</v>
      </c>
      <c r="D66" s="2">
        <f t="array" ref="D66:E66">FEvaluate_Bezier($A$2:$A$8,$B$2:$B$8,1,1,2,3,$C66, "Chart 1")</f>
        <v>41.999999999999993</v>
      </c>
      <c r="E66" s="2">
        <v>86.701629629629622</v>
      </c>
    </row>
    <row r="67" spans="1:5" x14ac:dyDescent="0.25">
      <c r="A67">
        <f t="shared" si="0"/>
        <v>43</v>
      </c>
      <c r="C67" s="2">
        <f t="shared" si="1"/>
        <v>0.4777777777777778</v>
      </c>
      <c r="D67" s="2">
        <f t="array" ref="D67:E67">FEvaluate_Bezier($A$2:$A$8,$B$2:$B$8,1,1,2,3,$C67, "Chart 1")</f>
        <v>42.999999999999986</v>
      </c>
      <c r="E67" s="2">
        <v>88.179268861454105</v>
      </c>
    </row>
    <row r="68" spans="1:5" x14ac:dyDescent="0.25">
      <c r="A68">
        <f t="shared" si="0"/>
        <v>44</v>
      </c>
      <c r="C68" s="2">
        <f t="shared" si="1"/>
        <v>0.48888888888888887</v>
      </c>
      <c r="D68" s="2">
        <f t="array" ref="D68:E68">FEvaluate_Bezier($A$2:$A$8,$B$2:$B$8,1,1,2,3,$C68, "Chart 1")</f>
        <v>43.999999999999986</v>
      </c>
      <c r="E68" s="2">
        <v>89.653805212620114</v>
      </c>
    </row>
    <row r="69" spans="1:5" x14ac:dyDescent="0.25">
      <c r="A69">
        <f t="shared" si="0"/>
        <v>45</v>
      </c>
      <c r="C69" s="2">
        <f t="shared" si="1"/>
        <v>0.5</v>
      </c>
      <c r="D69" s="2">
        <f t="array" ref="D69:E69">FEvaluate_Bezier($A$2:$A$8,$B$2:$B$8,1,1,2,3,$C69, "Chart 1")</f>
        <v>44.999999999999993</v>
      </c>
      <c r="E69" s="2">
        <v>91.125000000000028</v>
      </c>
    </row>
    <row r="70" spans="1:5" x14ac:dyDescent="0.25">
      <c r="A70">
        <f t="shared" si="0"/>
        <v>46</v>
      </c>
      <c r="C70" s="2">
        <f t="shared" si="1"/>
        <v>0.51111111111111107</v>
      </c>
      <c r="D70" s="2">
        <f t="array" ref="D70:E70">FEvaluate_Bezier($A$2:$A$8,$B$2:$B$8,1,1,2,3,$C70, "Chart 1")</f>
        <v>46</v>
      </c>
      <c r="E70" s="2">
        <v>92.592614540466428</v>
      </c>
    </row>
    <row r="71" spans="1:5" x14ac:dyDescent="0.25">
      <c r="A71">
        <f t="shared" si="0"/>
        <v>47</v>
      </c>
      <c r="C71" s="2">
        <f t="shared" si="1"/>
        <v>0.52222222222222225</v>
      </c>
      <c r="D71" s="2">
        <f t="array" ref="D71:E71">FEvaluate_Bezier($A$2:$A$8,$B$2:$B$8,1,1,2,3,$C71, "Chart 1")</f>
        <v>46.999999999999993</v>
      </c>
      <c r="E71" s="2">
        <v>94.056410150891651</v>
      </c>
    </row>
    <row r="72" spans="1:5" x14ac:dyDescent="0.25">
      <c r="A72">
        <f t="shared" si="0"/>
        <v>48</v>
      </c>
      <c r="C72" s="2">
        <f t="shared" si="1"/>
        <v>0.53333333333333333</v>
      </c>
      <c r="D72" s="2">
        <f t="array" ref="D72:E72">FEvaluate_Bezier($A$2:$A$8,$B$2:$B$8,1,1,2,3,$C72, "Chart 1")</f>
        <v>47.999999999999993</v>
      </c>
      <c r="E72" s="2">
        <v>95.516148148148162</v>
      </c>
    </row>
    <row r="73" spans="1:5" x14ac:dyDescent="0.25">
      <c r="A73">
        <f t="shared" si="0"/>
        <v>49</v>
      </c>
      <c r="C73" s="2">
        <f t="shared" si="1"/>
        <v>0.5444444444444444</v>
      </c>
      <c r="D73" s="2">
        <f t="array" ref="D73:E73">FEvaluate_Bezier($A$2:$A$8,$B$2:$B$8,1,1,2,3,$C73, "Chart 1")</f>
        <v>48.999999999999993</v>
      </c>
      <c r="E73" s="2">
        <v>96.971589849108369</v>
      </c>
    </row>
    <row r="74" spans="1:5" x14ac:dyDescent="0.25">
      <c r="A74">
        <f t="shared" si="0"/>
        <v>50</v>
      </c>
      <c r="C74" s="2">
        <f t="shared" si="1"/>
        <v>0.55555555555555558</v>
      </c>
      <c r="D74" s="2">
        <f t="array" ref="D74:E74">FEvaluate_Bezier($A$2:$A$8,$B$2:$B$8,1,1,2,3,$C74, "Chart 1")</f>
        <v>50</v>
      </c>
      <c r="E74" s="2">
        <v>98.422496570644697</v>
      </c>
    </row>
    <row r="75" spans="1:5" x14ac:dyDescent="0.25">
      <c r="A75">
        <f t="shared" si="0"/>
        <v>51</v>
      </c>
      <c r="C75" s="2">
        <f t="shared" si="1"/>
        <v>0.56666666666666665</v>
      </c>
      <c r="D75" s="2">
        <f t="array" ref="D75:E75">FEvaluate_Bezier($A$2:$A$8,$B$2:$B$8,1,1,2,3,$C75, "Chart 1")</f>
        <v>50.999999999999986</v>
      </c>
      <c r="E75" s="2">
        <v>99.868629629629652</v>
      </c>
    </row>
    <row r="76" spans="1:5" x14ac:dyDescent="0.25">
      <c r="A76">
        <f t="shared" si="0"/>
        <v>52</v>
      </c>
      <c r="C76" s="2">
        <f t="shared" si="1"/>
        <v>0.57777777777777772</v>
      </c>
      <c r="D76" s="2">
        <f t="array" ref="D76:E76">FEvaluate_Bezier($A$2:$A$8,$B$2:$B$8,1,1,2,3,$C76, "Chart 1")</f>
        <v>51.999999999999986</v>
      </c>
      <c r="E76" s="2">
        <v>101.30975034293552</v>
      </c>
    </row>
    <row r="77" spans="1:5" x14ac:dyDescent="0.25">
      <c r="A77">
        <f t="shared" si="0"/>
        <v>53</v>
      </c>
      <c r="C77" s="2">
        <f t="shared" si="1"/>
        <v>0.58888888888888891</v>
      </c>
      <c r="D77" s="2">
        <f t="array" ref="D77:E77">FEvaluate_Bezier($A$2:$A$8,$B$2:$B$8,1,1,2,3,$C77, "Chart 1")</f>
        <v>53</v>
      </c>
      <c r="E77" s="2">
        <v>102.74562002743484</v>
      </c>
    </row>
    <row r="78" spans="1:5" x14ac:dyDescent="0.25">
      <c r="A78">
        <f t="shared" si="0"/>
        <v>54</v>
      </c>
      <c r="C78" s="2">
        <f t="shared" si="1"/>
        <v>0.6</v>
      </c>
      <c r="D78" s="2">
        <f t="array" ref="D78:E78">FEvaluate_Bezier($A$2:$A$8,$B$2:$B$8,1,1,2,3,$C78, "Chart 1")</f>
        <v>53.999999999999979</v>
      </c>
      <c r="E78" s="2">
        <v>104.17600000000003</v>
      </c>
    </row>
    <row r="79" spans="1:5" x14ac:dyDescent="0.25">
      <c r="A79">
        <f t="shared" si="0"/>
        <v>55</v>
      </c>
      <c r="C79" s="2">
        <f t="shared" si="1"/>
        <v>0.61111111111111116</v>
      </c>
      <c r="D79" s="2">
        <f t="array" ref="D79:E79">FEvaluate_Bezier($A$2:$A$8,$B$2:$B$8,1,1,2,3,$C79, "Chart 1")</f>
        <v>54.999999999999993</v>
      </c>
      <c r="E79" s="2">
        <v>105.60065157750344</v>
      </c>
    </row>
    <row r="80" spans="1:5" x14ac:dyDescent="0.25">
      <c r="A80">
        <f t="shared" si="0"/>
        <v>56</v>
      </c>
      <c r="C80" s="2">
        <f t="shared" si="1"/>
        <v>0.62222222222222223</v>
      </c>
      <c r="D80" s="2">
        <f t="array" ref="D80:E80">FEvaluate_Bezier($A$2:$A$8,$B$2:$B$8,1,1,2,3,$C80, "Chart 1")</f>
        <v>55.999999999999993</v>
      </c>
      <c r="E80" s="2">
        <v>107.01933607681757</v>
      </c>
    </row>
    <row r="81" spans="1:5" x14ac:dyDescent="0.25">
      <c r="A81">
        <f t="shared" si="0"/>
        <v>57</v>
      </c>
      <c r="C81" s="2">
        <f t="shared" si="1"/>
        <v>0.6333333333333333</v>
      </c>
      <c r="D81" s="2">
        <f t="array" ref="D81:E81">FEvaluate_Bezier($A$2:$A$8,$B$2:$B$8,1,1,2,3,$C81, "Chart 1")</f>
        <v>56.999999999999993</v>
      </c>
      <c r="E81" s="2">
        <v>108.43181481481481</v>
      </c>
    </row>
    <row r="82" spans="1:5" x14ac:dyDescent="0.25">
      <c r="A82">
        <f t="shared" si="0"/>
        <v>58</v>
      </c>
      <c r="C82" s="2">
        <f t="shared" si="1"/>
        <v>0.64444444444444449</v>
      </c>
      <c r="D82" s="2">
        <f t="array" ref="D82:E82">FEvaluate_Bezier($A$2:$A$8,$B$2:$B$8,1,1,2,3,$C82, "Chart 1")</f>
        <v>57.999999999999993</v>
      </c>
      <c r="E82" s="2">
        <v>109.83784910836766</v>
      </c>
    </row>
    <row r="83" spans="1:5" x14ac:dyDescent="0.25">
      <c r="A83">
        <f t="shared" si="0"/>
        <v>59</v>
      </c>
      <c r="C83" s="2">
        <f t="shared" si="1"/>
        <v>0.65555555555555556</v>
      </c>
      <c r="D83" s="2">
        <f t="array" ref="D83:E83">FEvaluate_Bezier($A$2:$A$8,$B$2:$B$8,1,1,2,3,$C83, "Chart 1")</f>
        <v>58.999999999999986</v>
      </c>
      <c r="E83" s="2">
        <v>111.23720027434842</v>
      </c>
    </row>
    <row r="84" spans="1:5" x14ac:dyDescent="0.25">
      <c r="A84">
        <f t="shared" si="0"/>
        <v>60</v>
      </c>
      <c r="C84" s="2">
        <f t="shared" si="1"/>
        <v>0.66666666666666663</v>
      </c>
      <c r="D84" s="2">
        <f t="array" ref="D84:E84">FEvaluate_Bezier($A$2:$A$8,$B$2:$B$8,1,1,2,3,$C84, "Chart 1")</f>
        <v>59.999999999999979</v>
      </c>
      <c r="E84" s="2">
        <v>112.62962962962965</v>
      </c>
    </row>
    <row r="85" spans="1:5" x14ac:dyDescent="0.25">
      <c r="A85">
        <f t="shared" si="0"/>
        <v>61</v>
      </c>
      <c r="C85" s="2">
        <f t="shared" si="1"/>
        <v>0.67777777777777781</v>
      </c>
      <c r="D85" s="2">
        <f t="array" ref="D85:E85">FEvaluate_Bezier($A$2:$A$8,$B$2:$B$8,1,1,2,3,$C85, "Chart 1")</f>
        <v>60.999999999999993</v>
      </c>
      <c r="E85" s="2">
        <v>114.0148984910837</v>
      </c>
    </row>
    <row r="86" spans="1:5" x14ac:dyDescent="0.25">
      <c r="A86">
        <f t="shared" si="0"/>
        <v>62</v>
      </c>
      <c r="C86" s="2">
        <f t="shared" si="1"/>
        <v>0.68888888888888888</v>
      </c>
      <c r="D86" s="2">
        <f t="array" ref="D86:E86">FEvaluate_Bezier($A$2:$A$8,$B$2:$B$8,1,1,2,3,$C86, "Chart 1")</f>
        <v>61.999999999999993</v>
      </c>
      <c r="E86" s="2">
        <v>115.39276817558297</v>
      </c>
    </row>
    <row r="87" spans="1:5" x14ac:dyDescent="0.25">
      <c r="A87">
        <f t="shared" si="0"/>
        <v>63</v>
      </c>
      <c r="C87" s="2">
        <f t="shared" si="1"/>
        <v>0.7</v>
      </c>
      <c r="D87" s="2">
        <f t="array" ref="D87:E87">FEvaluate_Bezier($A$2:$A$8,$B$2:$B$8,1,1,2,3,$C87, "Chart 1")</f>
        <v>62.999999999999986</v>
      </c>
      <c r="E87" s="2">
        <v>116.76300000000002</v>
      </c>
    </row>
    <row r="88" spans="1:5" x14ac:dyDescent="0.25">
      <c r="A88">
        <f t="shared" si="0"/>
        <v>64</v>
      </c>
      <c r="C88" s="2">
        <f t="shared" si="1"/>
        <v>0.71111111111111114</v>
      </c>
      <c r="D88" s="2">
        <f t="array" ref="D88:E88">FEvaluate_Bezier($A$2:$A$8,$B$2:$B$8,1,1,2,3,$C88, "Chart 1")</f>
        <v>63.999999999999993</v>
      </c>
      <c r="E88" s="2">
        <v>118.12535528120713</v>
      </c>
    </row>
    <row r="89" spans="1:5" x14ac:dyDescent="0.25">
      <c r="A89">
        <f t="shared" si="0"/>
        <v>65</v>
      </c>
      <c r="C89" s="2">
        <f t="shared" si="1"/>
        <v>0.72222222222222221</v>
      </c>
      <c r="D89" s="2">
        <f t="array" ref="D89:E89">FEvaluate_Bezier($A$2:$A$8,$B$2:$B$8,1,1,2,3,$C89, "Chart 1")</f>
        <v>64.999999999999986</v>
      </c>
      <c r="E89" s="2">
        <v>119.47959533607683</v>
      </c>
    </row>
    <row r="90" spans="1:5" x14ac:dyDescent="0.25">
      <c r="A90">
        <f t="shared" ref="A90:A153" si="2">A89+1</f>
        <v>66</v>
      </c>
      <c r="C90" s="2">
        <f t="shared" ref="C90:C113" si="3">(ROW(C90)-ROW($C$24))/(ROW($C$114)-ROW($C$24))</f>
        <v>0.73333333333333328</v>
      </c>
      <c r="D90" s="2">
        <f t="array" ref="D90:E90">FEvaluate_Bezier($A$2:$A$8,$B$2:$B$8,1,1,2,3,$C90, "Chart 1")</f>
        <v>65.999999999999986</v>
      </c>
      <c r="E90" s="2">
        <v>120.8254814814815</v>
      </c>
    </row>
    <row r="91" spans="1:5" x14ac:dyDescent="0.25">
      <c r="A91">
        <f t="shared" si="2"/>
        <v>67</v>
      </c>
      <c r="C91" s="2">
        <f t="shared" si="3"/>
        <v>0.74444444444444446</v>
      </c>
      <c r="D91" s="2">
        <f t="array" ref="D91:E91">FEvaluate_Bezier($A$2:$A$8,$B$2:$B$8,1,1,2,3,$C91, "Chart 1")</f>
        <v>66.999999999999986</v>
      </c>
      <c r="E91" s="2">
        <v>122.16277503429359</v>
      </c>
    </row>
    <row r="92" spans="1:5" x14ac:dyDescent="0.25">
      <c r="A92">
        <f t="shared" si="2"/>
        <v>68</v>
      </c>
      <c r="C92" s="2">
        <f t="shared" si="3"/>
        <v>0.75555555555555554</v>
      </c>
      <c r="D92" s="2">
        <f t="array" ref="D92:E92">FEvaluate_Bezier($A$2:$A$8,$B$2:$B$8,1,1,2,3,$C92, "Chart 1")</f>
        <v>67.999999999999986</v>
      </c>
      <c r="E92" s="2">
        <v>123.49123731138548</v>
      </c>
    </row>
    <row r="93" spans="1:5" x14ac:dyDescent="0.25">
      <c r="A93">
        <f t="shared" si="2"/>
        <v>69</v>
      </c>
      <c r="C93" s="2">
        <f t="shared" si="3"/>
        <v>0.76666666666666672</v>
      </c>
      <c r="D93" s="2">
        <f t="array" ref="D93:E93">FEvaluate_Bezier($A$2:$A$8,$B$2:$B$8,1,1,2,3,$C93, "Chart 1")</f>
        <v>69</v>
      </c>
      <c r="E93" s="2">
        <v>124.81062962962964</v>
      </c>
    </row>
    <row r="94" spans="1:5" x14ac:dyDescent="0.25">
      <c r="A94">
        <f t="shared" si="2"/>
        <v>70</v>
      </c>
      <c r="C94" s="2">
        <f t="shared" si="3"/>
        <v>0.77777777777777779</v>
      </c>
      <c r="D94" s="2">
        <f t="array" ref="D94:E94">FEvaluate_Bezier($A$2:$A$8,$B$2:$B$8,1,1,2,3,$C94, "Chart 1")</f>
        <v>69.999999999999986</v>
      </c>
      <c r="E94" s="2">
        <v>126.12071330589852</v>
      </c>
    </row>
    <row r="95" spans="1:5" x14ac:dyDescent="0.25">
      <c r="A95">
        <f t="shared" si="2"/>
        <v>71</v>
      </c>
      <c r="C95" s="2">
        <f t="shared" si="3"/>
        <v>0.78888888888888886</v>
      </c>
      <c r="D95" s="2">
        <f t="array" ref="D95:E95">FEvaluate_Bezier($A$2:$A$8,$B$2:$B$8,1,1,2,3,$C95, "Chart 1")</f>
        <v>70.999999999999986</v>
      </c>
      <c r="E95" s="2">
        <v>127.42124965706448</v>
      </c>
    </row>
    <row r="96" spans="1:5" x14ac:dyDescent="0.25">
      <c r="A96">
        <f t="shared" si="2"/>
        <v>72</v>
      </c>
      <c r="C96" s="2">
        <f t="shared" si="3"/>
        <v>0.8</v>
      </c>
      <c r="D96" s="2">
        <f t="array" ref="D96:E96">FEvaluate_Bezier($A$2:$A$8,$B$2:$B$8,1,1,2,3,$C96, "Chart 1")</f>
        <v>72</v>
      </c>
      <c r="E96" s="2">
        <v>128.71200000000002</v>
      </c>
    </row>
    <row r="97" spans="1:5" x14ac:dyDescent="0.25">
      <c r="A97">
        <f t="shared" si="2"/>
        <v>73</v>
      </c>
      <c r="C97" s="2">
        <f t="shared" si="3"/>
        <v>0.81111111111111112</v>
      </c>
      <c r="D97" s="2">
        <f t="array" ref="D97:E97">FEvaluate_Bezier($A$2:$A$8,$B$2:$B$8,1,1,2,3,$C97, "Chart 1")</f>
        <v>72.999999999999986</v>
      </c>
      <c r="E97" s="2">
        <v>129.99272565157756</v>
      </c>
    </row>
    <row r="98" spans="1:5" x14ac:dyDescent="0.25">
      <c r="A98">
        <f t="shared" si="2"/>
        <v>74</v>
      </c>
      <c r="C98" s="2">
        <f t="shared" si="3"/>
        <v>0.82222222222222219</v>
      </c>
      <c r="D98" s="2">
        <f t="array" ref="D98:E98">FEvaluate_Bezier($A$2:$A$8,$B$2:$B$8,1,1,2,3,$C98, "Chart 1")</f>
        <v>74</v>
      </c>
      <c r="E98" s="2">
        <v>131.26318792866942</v>
      </c>
    </row>
    <row r="99" spans="1:5" x14ac:dyDescent="0.25">
      <c r="A99">
        <f t="shared" si="2"/>
        <v>75</v>
      </c>
      <c r="C99" s="2">
        <f t="shared" si="3"/>
        <v>0.83333333333333337</v>
      </c>
      <c r="D99" s="2">
        <f t="array" ref="D99:E99">FEvaluate_Bezier($A$2:$A$8,$B$2:$B$8,1,1,2,3,$C99, "Chart 1")</f>
        <v>75</v>
      </c>
      <c r="E99" s="2">
        <v>132.52314814814812</v>
      </c>
    </row>
    <row r="100" spans="1:5" x14ac:dyDescent="0.25">
      <c r="A100">
        <f t="shared" si="2"/>
        <v>76</v>
      </c>
      <c r="C100" s="2">
        <f t="shared" si="3"/>
        <v>0.84444444444444444</v>
      </c>
      <c r="D100" s="2">
        <f t="array" ref="D100:E100">FEvaluate_Bezier($A$2:$A$8,$B$2:$B$8,1,1,2,3,$C100, "Chart 1")</f>
        <v>75.999999999999986</v>
      </c>
      <c r="E100" s="2">
        <v>133.77236762688617</v>
      </c>
    </row>
    <row r="101" spans="1:5" x14ac:dyDescent="0.25">
      <c r="A101">
        <f t="shared" si="2"/>
        <v>77</v>
      </c>
      <c r="C101" s="2">
        <f t="shared" si="3"/>
        <v>0.85555555555555551</v>
      </c>
      <c r="D101" s="2">
        <f t="array" ref="D101:E101">FEvaluate_Bezier($A$2:$A$8,$B$2:$B$8,1,1,2,3,$C101, "Chart 1")</f>
        <v>76.999999999999986</v>
      </c>
      <c r="E101" s="2">
        <v>135.01060768175583</v>
      </c>
    </row>
    <row r="102" spans="1:5" x14ac:dyDescent="0.25">
      <c r="A102">
        <f t="shared" si="2"/>
        <v>78</v>
      </c>
      <c r="C102" s="2">
        <f t="shared" si="3"/>
        <v>0.8666666666666667</v>
      </c>
      <c r="D102" s="2">
        <f t="array" ref="D102:E102">FEvaluate_Bezier($A$2:$A$8,$B$2:$B$8,1,1,2,3,$C102, "Chart 1")</f>
        <v>78</v>
      </c>
      <c r="E102" s="2">
        <v>136.23762962962959</v>
      </c>
    </row>
    <row r="103" spans="1:5" x14ac:dyDescent="0.25">
      <c r="A103">
        <f t="shared" si="2"/>
        <v>79</v>
      </c>
      <c r="C103" s="2">
        <f t="shared" si="3"/>
        <v>0.87777777777777777</v>
      </c>
      <c r="D103" s="2">
        <f t="array" ref="D103:E103">FEvaluate_Bezier($A$2:$A$8,$B$2:$B$8,1,1,2,3,$C103, "Chart 1")</f>
        <v>78.999999999999986</v>
      </c>
      <c r="E103" s="2">
        <v>137.45319478737997</v>
      </c>
    </row>
    <row r="104" spans="1:5" x14ac:dyDescent="0.25">
      <c r="A104">
        <f t="shared" si="2"/>
        <v>80</v>
      </c>
      <c r="C104" s="2">
        <f t="shared" si="3"/>
        <v>0.88888888888888884</v>
      </c>
      <c r="D104" s="2">
        <f t="array" ref="D104:E104">FEvaluate_Bezier($A$2:$A$8,$B$2:$B$8,1,1,2,3,$C104, "Chart 1")</f>
        <v>79.999999999999972</v>
      </c>
      <c r="E104" s="2">
        <v>138.65706447187927</v>
      </c>
    </row>
    <row r="105" spans="1:5" x14ac:dyDescent="0.25">
      <c r="A105">
        <f t="shared" si="2"/>
        <v>81</v>
      </c>
      <c r="C105" s="2">
        <f t="shared" si="3"/>
        <v>0.9</v>
      </c>
      <c r="D105" s="2">
        <f t="array" ref="D105:E105">FEvaluate_Bezier($A$2:$A$8,$B$2:$B$8,1,1,2,3,$C105, "Chart 1")</f>
        <v>80.999999999999986</v>
      </c>
      <c r="E105" s="2">
        <v>139.84900000000002</v>
      </c>
    </row>
    <row r="106" spans="1:5" x14ac:dyDescent="0.25">
      <c r="A106">
        <f t="shared" si="2"/>
        <v>82</v>
      </c>
      <c r="C106" s="2">
        <f t="shared" si="3"/>
        <v>0.91111111111111109</v>
      </c>
      <c r="D106" s="2">
        <f t="array" ref="D106:E106">FEvaluate_Bezier($A$2:$A$8,$B$2:$B$8,1,1,2,3,$C106, "Chart 1")</f>
        <v>82</v>
      </c>
      <c r="E106" s="2">
        <v>141.02876268861453</v>
      </c>
    </row>
    <row r="107" spans="1:5" x14ac:dyDescent="0.25">
      <c r="A107">
        <f t="shared" si="2"/>
        <v>83</v>
      </c>
      <c r="C107" s="2">
        <f t="shared" si="3"/>
        <v>0.92222222222222228</v>
      </c>
      <c r="D107" s="2">
        <f t="array" ref="D107:E107">FEvaluate_Bezier($A$2:$A$8,$B$2:$B$8,1,1,2,3,$C107, "Chart 1")</f>
        <v>82.999999999999986</v>
      </c>
      <c r="E107" s="2">
        <v>142.19611385459535</v>
      </c>
    </row>
    <row r="108" spans="1:5" x14ac:dyDescent="0.25">
      <c r="A108">
        <f t="shared" si="2"/>
        <v>84</v>
      </c>
      <c r="C108" s="2">
        <f t="shared" si="3"/>
        <v>0.93333333333333335</v>
      </c>
      <c r="D108" s="2">
        <f t="array" ref="D108:E108">FEvaluate_Bezier($A$2:$A$8,$B$2:$B$8,1,1,2,3,$C108, "Chart 1")</f>
        <v>83.999999999999986</v>
      </c>
      <c r="E108" s="2">
        <v>143.35081481481481</v>
      </c>
    </row>
    <row r="109" spans="1:5" x14ac:dyDescent="0.25">
      <c r="A109">
        <f t="shared" si="2"/>
        <v>85</v>
      </c>
      <c r="C109" s="2">
        <f t="shared" si="3"/>
        <v>0.94444444444444442</v>
      </c>
      <c r="D109" s="2">
        <f t="array" ref="D109:E109">FEvaluate_Bezier($A$2:$A$8,$B$2:$B$8,1,1,2,3,$C109, "Chart 1")</f>
        <v>85</v>
      </c>
      <c r="E109" s="2">
        <v>144.49262688614542</v>
      </c>
    </row>
    <row r="110" spans="1:5" x14ac:dyDescent="0.25">
      <c r="A110">
        <f t="shared" si="2"/>
        <v>86</v>
      </c>
      <c r="C110" s="2">
        <f t="shared" si="3"/>
        <v>0.9555555555555556</v>
      </c>
      <c r="D110" s="2">
        <f t="array" ref="D110:E110">FEvaluate_Bezier($A$2:$A$8,$B$2:$B$8,1,1,2,3,$C110, "Chart 1")</f>
        <v>85.999999999999986</v>
      </c>
      <c r="E110" s="2">
        <v>145.62131138545953</v>
      </c>
    </row>
    <row r="111" spans="1:5" x14ac:dyDescent="0.25">
      <c r="A111">
        <f t="shared" si="2"/>
        <v>87</v>
      </c>
      <c r="C111" s="2">
        <f t="shared" si="3"/>
        <v>0.96666666666666667</v>
      </c>
      <c r="D111" s="2">
        <f t="array" ref="D111:E111">FEvaluate_Bezier($A$2:$A$8,$B$2:$B$8,1,1,2,3,$C111, "Chart 1")</f>
        <v>87</v>
      </c>
      <c r="E111" s="2">
        <v>146.73662962962965</v>
      </c>
    </row>
    <row r="112" spans="1:5" x14ac:dyDescent="0.25">
      <c r="A112">
        <f t="shared" si="2"/>
        <v>88</v>
      </c>
      <c r="C112" s="2">
        <f t="shared" si="3"/>
        <v>0.97777777777777775</v>
      </c>
      <c r="D112" s="2">
        <f t="array" ref="D112:E112">FEvaluate_Bezier($A$2:$A$8,$B$2:$B$8,1,1,2,3,$C112, "Chart 1")</f>
        <v>87.999999999999986</v>
      </c>
      <c r="E112" s="2">
        <v>147.83834293552809</v>
      </c>
    </row>
    <row r="113" spans="1:5" x14ac:dyDescent="0.25">
      <c r="A113">
        <f t="shared" si="2"/>
        <v>89</v>
      </c>
      <c r="C113" s="2">
        <f t="shared" si="3"/>
        <v>0.98888888888888893</v>
      </c>
      <c r="D113" s="2">
        <f t="array" ref="D113:E113">FEvaluate_Bezier($A$2:$A$8,$B$2:$B$8,1,1,2,3,$C113, "Chart 1")</f>
        <v>88.999999999999986</v>
      </c>
      <c r="E113" s="2">
        <v>148.92621262002746</v>
      </c>
    </row>
    <row r="114" spans="1:5" x14ac:dyDescent="0.25">
      <c r="A114" s="3">
        <f t="shared" si="2"/>
        <v>90</v>
      </c>
      <c r="B114" s="3">
        <f>$B$3</f>
        <v>150</v>
      </c>
      <c r="C114" s="4">
        <v>0</v>
      </c>
      <c r="D114" s="3">
        <f>$A$114</f>
        <v>90</v>
      </c>
      <c r="E114" s="3">
        <f>$B$3</f>
        <v>150</v>
      </c>
    </row>
    <row r="115" spans="1:5" x14ac:dyDescent="0.25">
      <c r="A115">
        <f t="shared" si="2"/>
        <v>91</v>
      </c>
      <c r="C115" s="2">
        <f>(ROW(C115)-ROW($C$114))/(ROW($C$204)-ROW($C$114))</f>
        <v>1.1111111111111112E-2</v>
      </c>
      <c r="D115">
        <f t="array" ref="D115:E115">FEvaluate_Bezier($A$2:$A$8,$B$2:$B$8,1,2,3,4,$C115, "Chart 1")</f>
        <v>91.004272976680383</v>
      </c>
      <c r="E115">
        <v>151.06223182441695</v>
      </c>
    </row>
    <row r="116" spans="1:5" x14ac:dyDescent="0.25">
      <c r="A116">
        <f t="shared" si="2"/>
        <v>92</v>
      </c>
      <c r="C116" s="2">
        <f t="shared" ref="C116:C179" si="4">(ROW(C116)-ROW($C$114))/(ROW($C$204)-ROW($C$114))</f>
        <v>2.2222222222222223E-2</v>
      </c>
      <c r="D116">
        <f t="array" ref="D116:E116">FEvaluate_Bezier($A$2:$A$8,$B$2:$B$8,1,2,3,4,$C116, "Chart 1")</f>
        <v>92.016899862825767</v>
      </c>
      <c r="E116">
        <v>152.11563237311387</v>
      </c>
    </row>
    <row r="117" spans="1:5" x14ac:dyDescent="0.25">
      <c r="A117">
        <f t="shared" si="2"/>
        <v>93</v>
      </c>
      <c r="C117" s="2">
        <f t="shared" si="4"/>
        <v>3.3333333333333333E-2</v>
      </c>
      <c r="D117">
        <f t="array" ref="D117:E117">FEvaluate_Bezier($A$2:$A$8,$B$2:$B$8,1,2,3,4,$C117, "Chart 1")</f>
        <v>93.037592592592588</v>
      </c>
      <c r="E117">
        <v>153.16025925925928</v>
      </c>
    </row>
    <row r="118" spans="1:5" x14ac:dyDescent="0.25">
      <c r="A118">
        <f t="shared" si="2"/>
        <v>94</v>
      </c>
      <c r="C118" s="2">
        <f t="shared" si="4"/>
        <v>4.4444444444444446E-2</v>
      </c>
      <c r="D118">
        <f t="array" ref="D118:E118">FEvaluate_Bezier($A$2:$A$8,$B$2:$B$8,1,2,3,4,$C118, "Chart 1")</f>
        <v>94.066063100137171</v>
      </c>
      <c r="E118">
        <v>154.19617009602192</v>
      </c>
    </row>
    <row r="119" spans="1:5" x14ac:dyDescent="0.25">
      <c r="A119">
        <f t="shared" si="2"/>
        <v>95</v>
      </c>
      <c r="C119" s="2">
        <f t="shared" si="4"/>
        <v>5.5555555555555552E-2</v>
      </c>
      <c r="D119">
        <f t="array" ref="D119:E119">FEvaluate_Bezier($A$2:$A$8,$B$2:$B$8,1,2,3,4,$C119, "Chart 1")</f>
        <v>95.10202331961591</v>
      </c>
      <c r="E119">
        <v>155.22342249657066</v>
      </c>
    </row>
    <row r="120" spans="1:5" x14ac:dyDescent="0.25">
      <c r="A120">
        <f t="shared" si="2"/>
        <v>96</v>
      </c>
      <c r="C120" s="2">
        <f t="shared" si="4"/>
        <v>6.6666666666666666E-2</v>
      </c>
      <c r="D120">
        <f t="array" ref="D120:E120">FEvaluate_Bezier($A$2:$A$8,$B$2:$B$8,1,2,3,4,$C120, "Chart 1")</f>
        <v>96.14518518518517</v>
      </c>
      <c r="E120">
        <v>156.24207407407405</v>
      </c>
    </row>
    <row r="121" spans="1:5" x14ac:dyDescent="0.25">
      <c r="A121">
        <f t="shared" si="2"/>
        <v>97</v>
      </c>
      <c r="C121" s="2">
        <f t="shared" si="4"/>
        <v>7.7777777777777779E-2</v>
      </c>
      <c r="D121">
        <f t="array" ref="D121:E121">FEvaluate_Bezier($A$2:$A$8,$B$2:$B$8,1,2,3,4,$C121, "Chart 1")</f>
        <v>97.195260631001389</v>
      </c>
      <c r="E121">
        <v>157.25218244170097</v>
      </c>
    </row>
    <row r="122" spans="1:5" x14ac:dyDescent="0.25">
      <c r="A122">
        <f t="shared" si="2"/>
        <v>98</v>
      </c>
      <c r="C122" s="2">
        <f t="shared" si="4"/>
        <v>8.8888888888888892E-2</v>
      </c>
      <c r="D122">
        <f t="array" ref="D122:E122">FEvaluate_Bezier($A$2:$A$8,$B$2:$B$8,1,2,3,4,$C122, "Chart 1")</f>
        <v>98.251961591220834</v>
      </c>
      <c r="E122">
        <v>158.25380521262005</v>
      </c>
    </row>
    <row r="123" spans="1:5" x14ac:dyDescent="0.25">
      <c r="A123">
        <f t="shared" si="2"/>
        <v>99</v>
      </c>
      <c r="C123" s="2">
        <f t="shared" si="4"/>
        <v>0.1</v>
      </c>
      <c r="D123">
        <f t="array" ref="D123:E123">FEvaluate_Bezier($A$2:$A$8,$B$2:$B$8,1,2,3,4,$C123, "Chart 1")</f>
        <v>99.314999999999998</v>
      </c>
      <c r="E123">
        <v>159.24699999999996</v>
      </c>
    </row>
    <row r="124" spans="1:5" x14ac:dyDescent="0.25">
      <c r="A124">
        <f t="shared" si="2"/>
        <v>100</v>
      </c>
      <c r="C124" s="2">
        <f t="shared" si="4"/>
        <v>0.1111111111111111</v>
      </c>
      <c r="D124">
        <f t="array" ref="D124:E124">FEvaluate_Bezier($A$2:$A$8,$B$2:$B$8,1,2,3,4,$C124, "Chart 1")</f>
        <v>100.38408779149515</v>
      </c>
      <c r="E124">
        <v>160.23182441700968</v>
      </c>
    </row>
    <row r="125" spans="1:5" x14ac:dyDescent="0.25">
      <c r="A125">
        <f t="shared" si="2"/>
        <v>101</v>
      </c>
      <c r="C125" s="2">
        <f t="shared" si="4"/>
        <v>0.12222222222222222</v>
      </c>
      <c r="D125">
        <f t="array" ref="D125:E125">FEvaluate_Bezier($A$2:$A$8,$B$2:$B$8,1,2,3,4,$C125, "Chart 1")</f>
        <v>101.45893689986279</v>
      </c>
      <c r="E125">
        <v>161.20833607681757</v>
      </c>
    </row>
    <row r="126" spans="1:5" x14ac:dyDescent="0.25">
      <c r="A126">
        <f t="shared" si="2"/>
        <v>102</v>
      </c>
      <c r="C126" s="2">
        <f t="shared" si="4"/>
        <v>0.13333333333333333</v>
      </c>
      <c r="D126">
        <f t="array" ref="D126:E126">FEvaluate_Bezier($A$2:$A$8,$B$2:$B$8,1,2,3,4,$C126, "Chart 1")</f>
        <v>102.53925925925925</v>
      </c>
      <c r="E126">
        <v>162.17659259259256</v>
      </c>
    </row>
    <row r="127" spans="1:5" x14ac:dyDescent="0.25">
      <c r="A127">
        <f t="shared" si="2"/>
        <v>103</v>
      </c>
      <c r="C127" s="2">
        <f t="shared" si="4"/>
        <v>0.14444444444444443</v>
      </c>
      <c r="D127">
        <f t="array" ref="D127:E127">FEvaluate_Bezier($A$2:$A$8,$B$2:$B$8,1,2,3,4,$C127, "Chart 1")</f>
        <v>103.6247668038409</v>
      </c>
      <c r="E127">
        <v>163.13665157750339</v>
      </c>
    </row>
    <row r="128" spans="1:5" x14ac:dyDescent="0.25">
      <c r="A128">
        <f t="shared" si="2"/>
        <v>104</v>
      </c>
      <c r="C128" s="2">
        <f t="shared" si="4"/>
        <v>0.15555555555555556</v>
      </c>
      <c r="D128">
        <f t="array" ref="D128:E128">FEvaluate_Bezier($A$2:$A$8,$B$2:$B$8,1,2,3,4,$C128, "Chart 1")</f>
        <v>104.71517146776405</v>
      </c>
      <c r="E128">
        <v>164.08857064471877</v>
      </c>
    </row>
    <row r="129" spans="1:5" x14ac:dyDescent="0.25">
      <c r="A129">
        <f t="shared" si="2"/>
        <v>105</v>
      </c>
      <c r="C129" s="2">
        <f t="shared" si="4"/>
        <v>0.16666666666666666</v>
      </c>
      <c r="D129">
        <f t="array" ref="D129:E129">FEvaluate_Bezier($A$2:$A$8,$B$2:$B$8,1,2,3,4,$C129, "Chart 1")</f>
        <v>105.81018518518518</v>
      </c>
      <c r="E129">
        <v>165.03240740740736</v>
      </c>
    </row>
    <row r="130" spans="1:5" x14ac:dyDescent="0.25">
      <c r="A130">
        <f t="shared" si="2"/>
        <v>106</v>
      </c>
      <c r="C130" s="2">
        <f t="shared" si="4"/>
        <v>0.17777777777777778</v>
      </c>
      <c r="D130">
        <f t="array" ref="D130:E130">FEvaluate_Bezier($A$2:$A$8,$B$2:$B$8,1,2,3,4,$C130, "Chart 1")</f>
        <v>106.9095198902606</v>
      </c>
      <c r="E130">
        <v>165.96821947873801</v>
      </c>
    </row>
    <row r="131" spans="1:5" x14ac:dyDescent="0.25">
      <c r="A131">
        <f t="shared" si="2"/>
        <v>107</v>
      </c>
      <c r="C131" s="2">
        <f t="shared" si="4"/>
        <v>0.18888888888888888</v>
      </c>
      <c r="D131">
        <f t="array" ref="D131:E131">FEvaluate_Bezier($A$2:$A$8,$B$2:$B$8,1,2,3,4,$C131, "Chart 1")</f>
        <v>108.01288751714677</v>
      </c>
      <c r="E131">
        <v>166.89606447187927</v>
      </c>
    </row>
    <row r="132" spans="1:5" x14ac:dyDescent="0.25">
      <c r="A132">
        <f t="shared" si="2"/>
        <v>108</v>
      </c>
      <c r="C132" s="2">
        <f t="shared" si="4"/>
        <v>0.2</v>
      </c>
      <c r="D132">
        <f t="array" ref="D132:E132">FEvaluate_Bezier($A$2:$A$8,$B$2:$B$8,1,2,3,4,$C132, "Chart 1")</f>
        <v>109.12</v>
      </c>
      <c r="E132">
        <v>167.81599999999997</v>
      </c>
    </row>
    <row r="133" spans="1:5" x14ac:dyDescent="0.25">
      <c r="A133">
        <f t="shared" si="2"/>
        <v>109</v>
      </c>
      <c r="C133" s="2">
        <f t="shared" si="4"/>
        <v>0.21111111111111111</v>
      </c>
      <c r="D133">
        <f t="array" ref="D133:E133">FEvaluate_Bezier($A$2:$A$8,$B$2:$B$8,1,2,3,4,$C133, "Chart 1")</f>
        <v>110.23056927297665</v>
      </c>
      <c r="E133">
        <v>168.72808367626891</v>
      </c>
    </row>
    <row r="134" spans="1:5" x14ac:dyDescent="0.25">
      <c r="A134">
        <f t="shared" si="2"/>
        <v>110</v>
      </c>
      <c r="C134" s="2">
        <f t="shared" si="4"/>
        <v>0.22222222222222221</v>
      </c>
      <c r="D134">
        <f t="array" ref="D134:E134">FEvaluate_Bezier($A$2:$A$8,$B$2:$B$8,1,2,3,4,$C134, "Chart 1")</f>
        <v>111.34430727023317</v>
      </c>
      <c r="E134">
        <v>169.63237311385458</v>
      </c>
    </row>
    <row r="135" spans="1:5" x14ac:dyDescent="0.25">
      <c r="A135">
        <f t="shared" si="2"/>
        <v>111</v>
      </c>
      <c r="C135" s="2">
        <f t="shared" si="4"/>
        <v>0.23333333333333334</v>
      </c>
      <c r="D135">
        <f t="array" ref="D135:E135">FEvaluate_Bezier($A$2:$A$8,$B$2:$B$8,1,2,3,4,$C135, "Chart 1")</f>
        <v>112.46092592592589</v>
      </c>
      <c r="E135">
        <v>170.52892592592599</v>
      </c>
    </row>
    <row r="136" spans="1:5" x14ac:dyDescent="0.25">
      <c r="A136">
        <f t="shared" si="2"/>
        <v>112</v>
      </c>
      <c r="C136" s="2">
        <f t="shared" si="4"/>
        <v>0.24444444444444444</v>
      </c>
      <c r="D136">
        <f t="array" ref="D136:E136">FEvaluate_Bezier($A$2:$A$8,$B$2:$B$8,1,2,3,4,$C136, "Chart 1")</f>
        <v>113.58013717421122</v>
      </c>
      <c r="E136">
        <v>171.41779972565158</v>
      </c>
    </row>
    <row r="137" spans="1:5" x14ac:dyDescent="0.25">
      <c r="A137">
        <f t="shared" si="2"/>
        <v>113</v>
      </c>
      <c r="C137" s="2">
        <f t="shared" si="4"/>
        <v>0.25555555555555554</v>
      </c>
      <c r="D137">
        <f t="array" ref="D137:E137">FEvaluate_Bezier($A$2:$A$8,$B$2:$B$8,1,2,3,4,$C137, "Chart 1")</f>
        <v>114.70165294924554</v>
      </c>
      <c r="E137">
        <v>172.29905212620028</v>
      </c>
    </row>
    <row r="138" spans="1:5" x14ac:dyDescent="0.25">
      <c r="A138">
        <f t="shared" si="2"/>
        <v>114</v>
      </c>
      <c r="C138" s="2">
        <f t="shared" si="4"/>
        <v>0.26666666666666666</v>
      </c>
      <c r="D138">
        <f t="array" ref="D138:E138">FEvaluate_Bezier($A$2:$A$8,$B$2:$B$8,1,2,3,4,$C138, "Chart 1")</f>
        <v>115.82518518518521</v>
      </c>
      <c r="E138">
        <v>173.17274074074069</v>
      </c>
    </row>
    <row r="139" spans="1:5" x14ac:dyDescent="0.25">
      <c r="A139">
        <f t="shared" si="2"/>
        <v>115</v>
      </c>
      <c r="C139" s="2">
        <f t="shared" si="4"/>
        <v>0.27777777777777779</v>
      </c>
      <c r="D139">
        <f t="array" ref="D139:E139">FEvaluate_Bezier($A$2:$A$8,$B$2:$B$8,1,2,3,4,$C139, "Chart 1")</f>
        <v>116.95044581618654</v>
      </c>
      <c r="E139">
        <v>174.03892318244169</v>
      </c>
    </row>
    <row r="140" spans="1:5" x14ac:dyDescent="0.25">
      <c r="A140">
        <f t="shared" si="2"/>
        <v>116</v>
      </c>
      <c r="C140" s="2">
        <f t="shared" si="4"/>
        <v>0.28888888888888886</v>
      </c>
      <c r="D140">
        <f t="array" ref="D140:E140">FEvaluate_Bezier($A$2:$A$8,$B$2:$B$8,1,2,3,4,$C140, "Chart 1")</f>
        <v>118.07714677640602</v>
      </c>
      <c r="E140">
        <v>174.89765706447187</v>
      </c>
    </row>
    <row r="141" spans="1:5" x14ac:dyDescent="0.25">
      <c r="A141">
        <f t="shared" si="2"/>
        <v>117</v>
      </c>
      <c r="C141" s="2">
        <f t="shared" si="4"/>
        <v>0.3</v>
      </c>
      <c r="D141">
        <f t="array" ref="D141:E141">FEvaluate_Bezier($A$2:$A$8,$B$2:$B$8,1,2,3,4,$C141, "Chart 1")</f>
        <v>119.20499999999996</v>
      </c>
      <c r="E141">
        <v>175.74900000000002</v>
      </c>
    </row>
    <row r="142" spans="1:5" x14ac:dyDescent="0.25">
      <c r="A142">
        <f t="shared" si="2"/>
        <v>118</v>
      </c>
      <c r="C142" s="2">
        <f t="shared" si="4"/>
        <v>0.31111111111111112</v>
      </c>
      <c r="D142">
        <f t="array" ref="D142:E142">FEvaluate_Bezier($A$2:$A$8,$B$2:$B$8,1,2,3,4,$C142, "Chart 1")</f>
        <v>120.33371742112482</v>
      </c>
      <c r="E142">
        <v>176.5930096021948</v>
      </c>
    </row>
    <row r="143" spans="1:5" x14ac:dyDescent="0.25">
      <c r="A143">
        <f t="shared" si="2"/>
        <v>119</v>
      </c>
      <c r="C143" s="2">
        <f t="shared" si="4"/>
        <v>0.32222222222222224</v>
      </c>
      <c r="D143">
        <f t="array" ref="D143:E143">FEvaluate_Bezier($A$2:$A$8,$B$2:$B$8,1,2,3,4,$C143, "Chart 1")</f>
        <v>121.46301097393689</v>
      </c>
      <c r="E143">
        <v>177.42974348422496</v>
      </c>
    </row>
    <row r="144" spans="1:5" x14ac:dyDescent="0.25">
      <c r="A144">
        <f t="shared" si="2"/>
        <v>120</v>
      </c>
      <c r="C144" s="2">
        <f t="shared" si="4"/>
        <v>0.33333333333333331</v>
      </c>
      <c r="D144">
        <f t="array" ref="D144:E144">FEvaluate_Bezier($A$2:$A$8,$B$2:$B$8,1,2,3,4,$C144, "Chart 1")</f>
        <v>122.59259259259258</v>
      </c>
      <c r="E144">
        <v>178.25925925925921</v>
      </c>
    </row>
    <row r="145" spans="1:5" x14ac:dyDescent="0.25">
      <c r="A145">
        <f t="shared" si="2"/>
        <v>121</v>
      </c>
      <c r="C145" s="2">
        <f t="shared" si="4"/>
        <v>0.34444444444444444</v>
      </c>
      <c r="D145">
        <f t="array" ref="D145:E145">FEvaluate_Bezier($A$2:$A$8,$B$2:$B$8,1,2,3,4,$C145, "Chart 1")</f>
        <v>123.72217421124827</v>
      </c>
      <c r="E145">
        <v>179.08161454046638</v>
      </c>
    </row>
    <row r="146" spans="1:5" x14ac:dyDescent="0.25">
      <c r="A146">
        <f t="shared" si="2"/>
        <v>122</v>
      </c>
      <c r="C146" s="2">
        <f t="shared" si="4"/>
        <v>0.35555555555555557</v>
      </c>
      <c r="D146">
        <f t="array" ref="D146:E146">FEvaluate_Bezier($A$2:$A$8,$B$2:$B$8,1,2,3,4,$C146, "Chart 1")</f>
        <v>124.85146776406032</v>
      </c>
      <c r="E146">
        <v>179.89686694101513</v>
      </c>
    </row>
    <row r="147" spans="1:5" x14ac:dyDescent="0.25">
      <c r="A147">
        <f t="shared" si="2"/>
        <v>123</v>
      </c>
      <c r="C147" s="2">
        <f t="shared" si="4"/>
        <v>0.36666666666666664</v>
      </c>
      <c r="D147">
        <f t="array" ref="D147:E147">FEvaluate_Bezier($A$2:$A$8,$B$2:$B$8,1,2,3,4,$C147, "Chart 1")</f>
        <v>125.98018518518515</v>
      </c>
      <c r="E147">
        <v>180.70507407407408</v>
      </c>
    </row>
    <row r="148" spans="1:5" x14ac:dyDescent="0.25">
      <c r="A148">
        <f t="shared" si="2"/>
        <v>124</v>
      </c>
      <c r="C148" s="2">
        <f t="shared" si="4"/>
        <v>0.37777777777777777</v>
      </c>
      <c r="D148">
        <f t="array" ref="D148:E148">FEvaluate_Bezier($A$2:$A$8,$B$2:$B$8,1,2,3,4,$C148, "Chart 1")</f>
        <v>127.10803840877914</v>
      </c>
      <c r="E148">
        <v>181.50629355281205</v>
      </c>
    </row>
    <row r="149" spans="1:5" x14ac:dyDescent="0.25">
      <c r="A149">
        <f t="shared" si="2"/>
        <v>125</v>
      </c>
      <c r="C149" s="2">
        <f t="shared" si="4"/>
        <v>0.3888888888888889</v>
      </c>
      <c r="D149">
        <f t="array" ref="D149:E149">FEvaluate_Bezier($A$2:$A$8,$B$2:$B$8,1,2,3,4,$C149, "Chart 1")</f>
        <v>128.23473936899865</v>
      </c>
      <c r="E149">
        <v>182.3005829903978</v>
      </c>
    </row>
    <row r="150" spans="1:5" x14ac:dyDescent="0.25">
      <c r="A150">
        <f t="shared" si="2"/>
        <v>126</v>
      </c>
      <c r="C150" s="2">
        <f t="shared" si="4"/>
        <v>0.4</v>
      </c>
      <c r="D150">
        <f t="array" ref="D150:E150">FEvaluate_Bezier($A$2:$A$8,$B$2:$B$8,1,2,3,4,$C150, "Chart 1")</f>
        <v>129.35999999999999</v>
      </c>
      <c r="E150">
        <v>183.08799999999999</v>
      </c>
    </row>
    <row r="151" spans="1:5" x14ac:dyDescent="0.25">
      <c r="A151">
        <f t="shared" si="2"/>
        <v>127</v>
      </c>
      <c r="C151" s="2">
        <f t="shared" si="4"/>
        <v>0.41111111111111109</v>
      </c>
      <c r="D151">
        <f t="array" ref="D151:E151">FEvaluate_Bezier($A$2:$A$8,$B$2:$B$8,1,2,3,4,$C151, "Chart 1")</f>
        <v>130.48353223593963</v>
      </c>
      <c r="E151">
        <v>183.8686021947874</v>
      </c>
    </row>
    <row r="152" spans="1:5" x14ac:dyDescent="0.25">
      <c r="A152">
        <f t="shared" si="2"/>
        <v>128</v>
      </c>
      <c r="C152" s="2">
        <f t="shared" si="4"/>
        <v>0.42222222222222222</v>
      </c>
      <c r="D152">
        <f t="array" ref="D152:E152">FEvaluate_Bezier($A$2:$A$8,$B$2:$B$8,1,2,3,4,$C152, "Chart 1")</f>
        <v>131.60504801097392</v>
      </c>
      <c r="E152">
        <v>184.6424471879287</v>
      </c>
    </row>
    <row r="153" spans="1:5" x14ac:dyDescent="0.25">
      <c r="A153">
        <f t="shared" si="2"/>
        <v>129</v>
      </c>
      <c r="C153" s="2">
        <f t="shared" si="4"/>
        <v>0.43333333333333335</v>
      </c>
      <c r="D153">
        <f t="array" ref="D153:E153">FEvaluate_Bezier($A$2:$A$8,$B$2:$B$8,1,2,3,4,$C153, "Chart 1")</f>
        <v>132.72425925925924</v>
      </c>
      <c r="E153">
        <v>185.40959259259262</v>
      </c>
    </row>
    <row r="154" spans="1:5" x14ac:dyDescent="0.25">
      <c r="A154">
        <f t="shared" ref="A154:A203" si="5">A153+1</f>
        <v>130</v>
      </c>
      <c r="C154" s="2">
        <f t="shared" si="4"/>
        <v>0.44444444444444442</v>
      </c>
      <c r="D154">
        <f t="array" ref="D154:E154">FEvaluate_Bezier($A$2:$A$8,$B$2:$B$8,1,2,3,4,$C154, "Chart 1")</f>
        <v>133.84087791495196</v>
      </c>
      <c r="E154">
        <v>186.17009602194787</v>
      </c>
    </row>
    <row r="155" spans="1:5" x14ac:dyDescent="0.25">
      <c r="A155">
        <f t="shared" si="5"/>
        <v>131</v>
      </c>
      <c r="C155" s="2">
        <f t="shared" si="4"/>
        <v>0.45555555555555555</v>
      </c>
      <c r="D155">
        <f t="array" ref="D155:E155">FEvaluate_Bezier($A$2:$A$8,$B$2:$B$8,1,2,3,4,$C155, "Chart 1")</f>
        <v>134.95461591220851</v>
      </c>
      <c r="E155">
        <v>186.92401508916322</v>
      </c>
    </row>
    <row r="156" spans="1:5" x14ac:dyDescent="0.25">
      <c r="A156">
        <f t="shared" si="5"/>
        <v>132</v>
      </c>
      <c r="C156" s="2">
        <f t="shared" si="4"/>
        <v>0.46666666666666667</v>
      </c>
      <c r="D156">
        <f t="array" ref="D156:E156">FEvaluate_Bezier($A$2:$A$8,$B$2:$B$8,1,2,3,4,$C156, "Chart 1")</f>
        <v>136.06518518518519</v>
      </c>
      <c r="E156">
        <v>187.6714074074074</v>
      </c>
    </row>
    <row r="157" spans="1:5" x14ac:dyDescent="0.25">
      <c r="A157">
        <f t="shared" si="5"/>
        <v>133</v>
      </c>
      <c r="C157" s="2">
        <f t="shared" si="4"/>
        <v>0.4777777777777778</v>
      </c>
      <c r="D157">
        <f t="array" ref="D157:E157">FEvaluate_Bezier($A$2:$A$8,$B$2:$B$8,1,2,3,4,$C157, "Chart 1")</f>
        <v>137.17229766803837</v>
      </c>
      <c r="E157">
        <v>188.41233058984915</v>
      </c>
    </row>
    <row r="158" spans="1:5" x14ac:dyDescent="0.25">
      <c r="A158">
        <f t="shared" si="5"/>
        <v>134</v>
      </c>
      <c r="C158" s="2">
        <f t="shared" si="4"/>
        <v>0.48888888888888887</v>
      </c>
      <c r="D158">
        <f t="array" ref="D158:E158">FEvaluate_Bezier($A$2:$A$8,$B$2:$B$8,1,2,3,4,$C158, "Chart 1")</f>
        <v>138.27566529492452</v>
      </c>
      <c r="E158">
        <v>189.14684224965708</v>
      </c>
    </row>
    <row r="159" spans="1:5" x14ac:dyDescent="0.25">
      <c r="A159">
        <f t="shared" si="5"/>
        <v>135</v>
      </c>
      <c r="C159" s="2">
        <f t="shared" si="4"/>
        <v>0.5</v>
      </c>
      <c r="D159">
        <f t="array" ref="D159:E159">FEvaluate_Bezier($A$2:$A$8,$B$2:$B$8,1,2,3,4,$C159, "Chart 1")</f>
        <v>139.37499999999997</v>
      </c>
      <c r="E159">
        <v>189.87499999999997</v>
      </c>
    </row>
    <row r="160" spans="1:5" x14ac:dyDescent="0.25">
      <c r="A160">
        <f t="shared" si="5"/>
        <v>136</v>
      </c>
      <c r="C160" s="2">
        <f t="shared" si="4"/>
        <v>0.51111111111111107</v>
      </c>
      <c r="D160">
        <f t="array" ref="D160:E160">FEvaluate_Bezier($A$2:$A$8,$B$2:$B$8,1,2,3,4,$C160, "Chart 1")</f>
        <v>140.4700137174211</v>
      </c>
      <c r="E160">
        <v>190.59686145404666</v>
      </c>
    </row>
    <row r="161" spans="1:5" x14ac:dyDescent="0.25">
      <c r="A161">
        <f t="shared" si="5"/>
        <v>137</v>
      </c>
      <c r="C161" s="2">
        <f t="shared" si="4"/>
        <v>0.52222222222222225</v>
      </c>
      <c r="D161">
        <f t="array" ref="D161:E161">FEvaluate_Bezier($A$2:$A$8,$B$2:$B$8,1,2,3,4,$C161, "Chart 1")</f>
        <v>141.56041838134431</v>
      </c>
      <c r="E161">
        <v>191.31248422496571</v>
      </c>
    </row>
    <row r="162" spans="1:5" x14ac:dyDescent="0.25">
      <c r="A162">
        <f t="shared" si="5"/>
        <v>138</v>
      </c>
      <c r="C162" s="2">
        <f t="shared" si="4"/>
        <v>0.53333333333333333</v>
      </c>
      <c r="D162">
        <f t="array" ref="D162:E162">FEvaluate_Bezier($A$2:$A$8,$B$2:$B$8,1,2,3,4,$C162, "Chart 1")</f>
        <v>142.64592592592592</v>
      </c>
      <c r="E162">
        <v>192.02192592592593</v>
      </c>
    </row>
    <row r="163" spans="1:5" x14ac:dyDescent="0.25">
      <c r="A163">
        <f t="shared" si="5"/>
        <v>139</v>
      </c>
      <c r="C163" s="2">
        <f t="shared" si="4"/>
        <v>0.5444444444444444</v>
      </c>
      <c r="D163">
        <f t="array" ref="D163:E163">FEvaluate_Bezier($A$2:$A$8,$B$2:$B$8,1,2,3,4,$C163, "Chart 1")</f>
        <v>143.72624828532233</v>
      </c>
      <c r="E163">
        <v>192.725244170096</v>
      </c>
    </row>
    <row r="164" spans="1:5" x14ac:dyDescent="0.25">
      <c r="A164">
        <f t="shared" si="5"/>
        <v>140</v>
      </c>
      <c r="C164" s="2">
        <f t="shared" si="4"/>
        <v>0.55555555555555558</v>
      </c>
      <c r="D164">
        <f t="array" ref="D164:E164">FEvaluate_Bezier($A$2:$A$8,$B$2:$B$8,1,2,3,4,$C164, "Chart 1")</f>
        <v>144.80109739368999</v>
      </c>
      <c r="E164">
        <v>193.42249657064474</v>
      </c>
    </row>
    <row r="165" spans="1:5" x14ac:dyDescent="0.25">
      <c r="A165">
        <f t="shared" si="5"/>
        <v>141</v>
      </c>
      <c r="C165" s="2">
        <f t="shared" si="4"/>
        <v>0.56666666666666665</v>
      </c>
      <c r="D165">
        <f t="array" ref="D165:E165">FEvaluate_Bezier($A$2:$A$8,$B$2:$B$8,1,2,3,4,$C165, "Chart 1")</f>
        <v>145.87018518518516</v>
      </c>
      <c r="E165">
        <v>194.11374074074078</v>
      </c>
    </row>
    <row r="166" spans="1:5" x14ac:dyDescent="0.25">
      <c r="A166">
        <f t="shared" si="5"/>
        <v>142</v>
      </c>
      <c r="C166" s="2">
        <f t="shared" si="4"/>
        <v>0.57777777777777772</v>
      </c>
      <c r="D166">
        <f t="array" ref="D166:E166">FEvaluate_Bezier($A$2:$A$8,$B$2:$B$8,1,2,3,4,$C166, "Chart 1")</f>
        <v>146.93322359396433</v>
      </c>
      <c r="E166">
        <v>194.79903429355281</v>
      </c>
    </row>
    <row r="167" spans="1:5" x14ac:dyDescent="0.25">
      <c r="A167">
        <f t="shared" si="5"/>
        <v>143</v>
      </c>
      <c r="C167" s="2">
        <f t="shared" si="4"/>
        <v>0.58888888888888891</v>
      </c>
      <c r="D167">
        <f t="array" ref="D167:E167">FEvaluate_Bezier($A$2:$A$8,$B$2:$B$8,1,2,3,4,$C167, "Chart 1")</f>
        <v>147.9899245541838</v>
      </c>
      <c r="E167">
        <v>195.47843484224964</v>
      </c>
    </row>
    <row r="168" spans="1:5" x14ac:dyDescent="0.25">
      <c r="A168">
        <f t="shared" si="5"/>
        <v>144</v>
      </c>
      <c r="C168" s="2">
        <f t="shared" si="4"/>
        <v>0.6</v>
      </c>
      <c r="D168">
        <f t="array" ref="D168:E168">FEvaluate_Bezier($A$2:$A$8,$B$2:$B$8,1,2,3,4,$C168, "Chart 1")</f>
        <v>149.03999999999996</v>
      </c>
      <c r="E168">
        <v>196.15199999999999</v>
      </c>
    </row>
    <row r="169" spans="1:5" x14ac:dyDescent="0.25">
      <c r="A169">
        <f t="shared" si="5"/>
        <v>145</v>
      </c>
      <c r="C169" s="2">
        <f t="shared" si="4"/>
        <v>0.61111111111111116</v>
      </c>
      <c r="D169">
        <f t="array" ref="D169:E169">FEvaluate_Bezier($A$2:$A$8,$B$2:$B$8,1,2,3,4,$C169, "Chart 1")</f>
        <v>150.08316186556925</v>
      </c>
      <c r="E169">
        <v>196.81978737997258</v>
      </c>
    </row>
    <row r="170" spans="1:5" x14ac:dyDescent="0.25">
      <c r="A170">
        <f t="shared" si="5"/>
        <v>146</v>
      </c>
      <c r="C170" s="2">
        <f t="shared" si="4"/>
        <v>0.62222222222222223</v>
      </c>
      <c r="D170">
        <f t="array" ref="D170:E170">FEvaluate_Bezier($A$2:$A$8,$B$2:$B$8,1,2,3,4,$C170, "Chart 1")</f>
        <v>151.11912208504796</v>
      </c>
      <c r="E170">
        <v>197.48185459533607</v>
      </c>
    </row>
    <row r="171" spans="1:5" x14ac:dyDescent="0.25">
      <c r="A171">
        <f t="shared" si="5"/>
        <v>147</v>
      </c>
      <c r="C171" s="2">
        <f t="shared" si="4"/>
        <v>0.6333333333333333</v>
      </c>
      <c r="D171">
        <f t="array" ref="D171:E171">FEvaluate_Bezier($A$2:$A$8,$B$2:$B$8,1,2,3,4,$C171, "Chart 1")</f>
        <v>152.14759259259256</v>
      </c>
      <c r="E171">
        <v>198.13825925925929</v>
      </c>
    </row>
    <row r="172" spans="1:5" x14ac:dyDescent="0.25">
      <c r="A172">
        <f t="shared" si="5"/>
        <v>148</v>
      </c>
      <c r="C172" s="2">
        <f t="shared" si="4"/>
        <v>0.64444444444444449</v>
      </c>
      <c r="D172">
        <f t="array" ref="D172:E172">FEvaluate_Bezier($A$2:$A$8,$B$2:$B$8,1,2,3,4,$C172, "Chart 1")</f>
        <v>153.16828532235937</v>
      </c>
      <c r="E172">
        <v>198.78905898491084</v>
      </c>
    </row>
    <row r="173" spans="1:5" x14ac:dyDescent="0.25">
      <c r="A173">
        <f t="shared" si="5"/>
        <v>149</v>
      </c>
      <c r="C173" s="2">
        <f t="shared" si="4"/>
        <v>0.65555555555555556</v>
      </c>
      <c r="D173">
        <f t="array" ref="D173:E173">FEvaluate_Bezier($A$2:$A$8,$B$2:$B$8,1,2,3,4,$C173, "Chart 1")</f>
        <v>154.18091220850476</v>
      </c>
      <c r="E173">
        <v>199.43431138545952</v>
      </c>
    </row>
    <row r="174" spans="1:5" x14ac:dyDescent="0.25">
      <c r="A174">
        <f t="shared" si="5"/>
        <v>150</v>
      </c>
      <c r="C174" s="2">
        <f t="shared" si="4"/>
        <v>0.66666666666666663</v>
      </c>
      <c r="D174">
        <f t="array" ref="D174:E174">FEvaluate_Bezier($A$2:$A$8,$B$2:$B$8,1,2,3,4,$C174, "Chart 1")</f>
        <v>155.18518518518519</v>
      </c>
      <c r="E174">
        <v>200.07407407407408</v>
      </c>
    </row>
    <row r="175" spans="1:5" x14ac:dyDescent="0.25">
      <c r="A175">
        <f t="shared" si="5"/>
        <v>151</v>
      </c>
      <c r="C175" s="2">
        <f t="shared" si="4"/>
        <v>0.67777777777777781</v>
      </c>
      <c r="D175">
        <f t="array" ref="D175:E175">FEvaluate_Bezier($A$2:$A$8,$B$2:$B$8,1,2,3,4,$C175, "Chart 1")</f>
        <v>156.18081618655694</v>
      </c>
      <c r="E175">
        <v>200.70840466392318</v>
      </c>
    </row>
    <row r="176" spans="1:5" x14ac:dyDescent="0.25">
      <c r="A176">
        <f t="shared" si="5"/>
        <v>152</v>
      </c>
      <c r="C176" s="2">
        <f t="shared" si="4"/>
        <v>0.68888888888888888</v>
      </c>
      <c r="D176">
        <f t="array" ref="D176:E176">FEvaluate_Bezier($A$2:$A$8,$B$2:$B$8,1,2,3,4,$C176, "Chart 1")</f>
        <v>157.16751714677639</v>
      </c>
      <c r="E176">
        <v>201.33736076817559</v>
      </c>
    </row>
    <row r="177" spans="1:5" x14ac:dyDescent="0.25">
      <c r="A177">
        <f t="shared" si="5"/>
        <v>153</v>
      </c>
      <c r="C177" s="2">
        <f t="shared" si="4"/>
        <v>0.7</v>
      </c>
      <c r="D177">
        <f t="array" ref="D177:E177">FEvaluate_Bezier($A$2:$A$8,$B$2:$B$8,1,2,3,4,$C177, "Chart 1")</f>
        <v>158.14499999999998</v>
      </c>
      <c r="E177">
        <v>201.96100000000001</v>
      </c>
    </row>
    <row r="178" spans="1:5" x14ac:dyDescent="0.25">
      <c r="A178">
        <f t="shared" si="5"/>
        <v>154</v>
      </c>
      <c r="C178" s="2">
        <f t="shared" si="4"/>
        <v>0.71111111111111114</v>
      </c>
      <c r="D178">
        <f t="array" ref="D178:E178">FEvaluate_Bezier($A$2:$A$8,$B$2:$B$8,1,2,3,4,$C178, "Chart 1")</f>
        <v>159.11297668038407</v>
      </c>
      <c r="E178">
        <v>202.57937997256516</v>
      </c>
    </row>
    <row r="179" spans="1:5" x14ac:dyDescent="0.25">
      <c r="A179">
        <f t="shared" si="5"/>
        <v>155</v>
      </c>
      <c r="C179" s="2">
        <f t="shared" si="4"/>
        <v>0.72222222222222221</v>
      </c>
      <c r="D179">
        <f t="array" ref="D179:E179">FEvaluate_Bezier($A$2:$A$8,$B$2:$B$8,1,2,3,4,$C179, "Chart 1")</f>
        <v>160.07115912208505</v>
      </c>
      <c r="E179">
        <v>203.19255829903977</v>
      </c>
    </row>
    <row r="180" spans="1:5" x14ac:dyDescent="0.25">
      <c r="A180">
        <f t="shared" si="5"/>
        <v>156</v>
      </c>
      <c r="C180" s="2">
        <f t="shared" ref="C180:C205" si="6">(ROW(C180)-ROW($C$114))/(ROW($C$204)-ROW($C$114))</f>
        <v>0.73333333333333328</v>
      </c>
      <c r="D180">
        <f t="array" ref="D180:E180">FEvaluate_Bezier($A$2:$A$8,$B$2:$B$8,1,2,3,4,$C180, "Chart 1")</f>
        <v>161.01925925925923</v>
      </c>
      <c r="E180">
        <v>203.80059259259261</v>
      </c>
    </row>
    <row r="181" spans="1:5" x14ac:dyDescent="0.25">
      <c r="A181">
        <f t="shared" si="5"/>
        <v>157</v>
      </c>
      <c r="C181" s="2">
        <f t="shared" si="6"/>
        <v>0.74444444444444446</v>
      </c>
      <c r="D181">
        <f t="array" ref="D181:E181">FEvaluate_Bezier($A$2:$A$8,$B$2:$B$8,1,2,3,4,$C181, "Chart 1")</f>
        <v>161.9569890260631</v>
      </c>
      <c r="E181">
        <v>204.40354046639234</v>
      </c>
    </row>
    <row r="182" spans="1:5" x14ac:dyDescent="0.25">
      <c r="A182">
        <f t="shared" si="5"/>
        <v>158</v>
      </c>
      <c r="C182" s="2">
        <f t="shared" si="6"/>
        <v>0.75555555555555554</v>
      </c>
      <c r="D182">
        <f t="array" ref="D182:E182">FEvaluate_Bezier($A$2:$A$8,$B$2:$B$8,1,2,3,4,$C182, "Chart 1")</f>
        <v>162.88406035665295</v>
      </c>
      <c r="E182">
        <v>205.00145953360772</v>
      </c>
    </row>
    <row r="183" spans="1:5" x14ac:dyDescent="0.25">
      <c r="A183">
        <f t="shared" si="5"/>
        <v>159</v>
      </c>
      <c r="C183" s="2">
        <f t="shared" si="6"/>
        <v>0.76666666666666672</v>
      </c>
      <c r="D183">
        <f t="array" ref="D183:E183">FEvaluate_Bezier($A$2:$A$8,$B$2:$B$8,1,2,3,4,$C183, "Chart 1")</f>
        <v>163.80018518518517</v>
      </c>
      <c r="E183">
        <v>205.59440740740743</v>
      </c>
    </row>
    <row r="184" spans="1:5" x14ac:dyDescent="0.25">
      <c r="A184">
        <f t="shared" si="5"/>
        <v>160</v>
      </c>
      <c r="C184" s="2">
        <f t="shared" si="6"/>
        <v>0.77777777777777779</v>
      </c>
      <c r="D184">
        <f t="array" ref="D184:E184">FEvaluate_Bezier($A$2:$A$8,$B$2:$B$8,1,2,3,4,$C184, "Chart 1")</f>
        <v>164.70507544581616</v>
      </c>
      <c r="E184">
        <v>206.18244170096023</v>
      </c>
    </row>
    <row r="185" spans="1:5" x14ac:dyDescent="0.25">
      <c r="A185">
        <f t="shared" si="5"/>
        <v>161</v>
      </c>
      <c r="C185" s="2">
        <f t="shared" si="6"/>
        <v>0.78888888888888886</v>
      </c>
      <c r="D185">
        <f t="array" ref="D185:E185">FEvaluate_Bezier($A$2:$A$8,$B$2:$B$8,1,2,3,4,$C185, "Chart 1")</f>
        <v>165.59844307270234</v>
      </c>
      <c r="E185">
        <v>206.76562002743484</v>
      </c>
    </row>
    <row r="186" spans="1:5" x14ac:dyDescent="0.25">
      <c r="A186">
        <f t="shared" si="5"/>
        <v>162</v>
      </c>
      <c r="C186" s="2">
        <f t="shared" si="6"/>
        <v>0.8</v>
      </c>
      <c r="D186">
        <f t="array" ref="D186:E186">FEvaluate_Bezier($A$2:$A$8,$B$2:$B$8,1,2,3,4,$C186, "Chart 1")</f>
        <v>166.48000000000002</v>
      </c>
      <c r="E186">
        <v>207.34399999999999</v>
      </c>
    </row>
    <row r="187" spans="1:5" x14ac:dyDescent="0.25">
      <c r="A187">
        <f t="shared" si="5"/>
        <v>163</v>
      </c>
      <c r="C187" s="2">
        <f t="shared" si="6"/>
        <v>0.81111111111111112</v>
      </c>
      <c r="D187">
        <f t="array" ref="D187:E187">FEvaluate_Bezier($A$2:$A$8,$B$2:$B$8,1,2,3,4,$C187, "Chart 1")</f>
        <v>167.34945816186556</v>
      </c>
      <c r="E187">
        <v>207.91763923182441</v>
      </c>
    </row>
    <row r="188" spans="1:5" x14ac:dyDescent="0.25">
      <c r="A188">
        <f t="shared" si="5"/>
        <v>164</v>
      </c>
      <c r="C188" s="2">
        <f t="shared" si="6"/>
        <v>0.82222222222222219</v>
      </c>
      <c r="D188">
        <f t="array" ref="D188:E188">FEvaluate_Bezier($A$2:$A$8,$B$2:$B$8,1,2,3,4,$C188, "Chart 1")</f>
        <v>168.20652949245542</v>
      </c>
      <c r="E188">
        <v>208.48659533607682</v>
      </c>
    </row>
    <row r="189" spans="1:5" x14ac:dyDescent="0.25">
      <c r="A189">
        <f t="shared" si="5"/>
        <v>165</v>
      </c>
      <c r="C189" s="2">
        <f t="shared" si="6"/>
        <v>0.83333333333333337</v>
      </c>
      <c r="D189">
        <f t="array" ref="D189:E189">FEvaluate_Bezier($A$2:$A$8,$B$2:$B$8,1,2,3,4,$C189, "Chart 1")</f>
        <v>169.05092592592592</v>
      </c>
      <c r="E189">
        <v>209.05092592592592</v>
      </c>
    </row>
    <row r="190" spans="1:5" x14ac:dyDescent="0.25">
      <c r="A190">
        <f t="shared" si="5"/>
        <v>166</v>
      </c>
      <c r="C190" s="2">
        <f t="shared" si="6"/>
        <v>0.84444444444444444</v>
      </c>
      <c r="D190">
        <f t="array" ref="D190:E190">FEvaluate_Bezier($A$2:$A$8,$B$2:$B$8,1,2,3,4,$C190, "Chart 1")</f>
        <v>169.88235939643346</v>
      </c>
      <c r="E190">
        <v>209.61068861454049</v>
      </c>
    </row>
    <row r="191" spans="1:5" x14ac:dyDescent="0.25">
      <c r="A191">
        <f t="shared" si="5"/>
        <v>167</v>
      </c>
      <c r="C191" s="2">
        <f t="shared" si="6"/>
        <v>0.85555555555555551</v>
      </c>
      <c r="D191">
        <f t="array" ref="D191:E191">FEvaluate_Bezier($A$2:$A$8,$B$2:$B$8,1,2,3,4,$C191, "Chart 1")</f>
        <v>170.7005418381344</v>
      </c>
      <c r="E191">
        <v>210.16594101508917</v>
      </c>
    </row>
    <row r="192" spans="1:5" x14ac:dyDescent="0.25">
      <c r="A192">
        <f t="shared" si="5"/>
        <v>168</v>
      </c>
      <c r="C192" s="2">
        <f t="shared" si="6"/>
        <v>0.8666666666666667</v>
      </c>
      <c r="D192">
        <f t="array" ref="D192:E192">FEvaluate_Bezier($A$2:$A$8,$B$2:$B$8,1,2,3,4,$C192, "Chart 1")</f>
        <v>171.50518518518518</v>
      </c>
      <c r="E192">
        <v>210.71674074074076</v>
      </c>
    </row>
    <row r="193" spans="1:5" x14ac:dyDescent="0.25">
      <c r="A193">
        <f t="shared" si="5"/>
        <v>169</v>
      </c>
      <c r="C193" s="2">
        <f t="shared" si="6"/>
        <v>0.87777777777777777</v>
      </c>
      <c r="D193">
        <f t="array" ref="D193:E193">FEvaluate_Bezier($A$2:$A$8,$B$2:$B$8,1,2,3,4,$C193, "Chart 1")</f>
        <v>172.29600137174214</v>
      </c>
      <c r="E193">
        <v>211.2631454046639</v>
      </c>
    </row>
    <row r="194" spans="1:5" x14ac:dyDescent="0.25">
      <c r="A194">
        <f t="shared" si="5"/>
        <v>170</v>
      </c>
      <c r="C194" s="2">
        <f t="shared" si="6"/>
        <v>0.88888888888888884</v>
      </c>
      <c r="D194">
        <f t="array" ref="D194:E194">FEvaluate_Bezier($A$2:$A$8,$B$2:$B$8,1,2,3,4,$C194, "Chart 1")</f>
        <v>173.07270233196158</v>
      </c>
      <c r="E194">
        <v>211.80521262002745</v>
      </c>
    </row>
    <row r="195" spans="1:5" x14ac:dyDescent="0.25">
      <c r="A195">
        <f t="shared" si="5"/>
        <v>171</v>
      </c>
      <c r="C195" s="2">
        <f t="shared" si="6"/>
        <v>0.9</v>
      </c>
      <c r="D195">
        <f t="array" ref="D195:E195">FEvaluate_Bezier($A$2:$A$8,$B$2:$B$8,1,2,3,4,$C195, "Chart 1")</f>
        <v>173.83500000000001</v>
      </c>
      <c r="E195">
        <v>212.34300000000002</v>
      </c>
    </row>
    <row r="196" spans="1:5" x14ac:dyDescent="0.25">
      <c r="A196">
        <f t="shared" si="5"/>
        <v>172</v>
      </c>
      <c r="C196" s="2">
        <f t="shared" si="6"/>
        <v>0.91111111111111109</v>
      </c>
      <c r="D196">
        <f t="array" ref="D196:E196">FEvaluate_Bezier($A$2:$A$8,$B$2:$B$8,1,2,3,4,$C196, "Chart 1")</f>
        <v>174.58260631001369</v>
      </c>
      <c r="E196">
        <v>212.87656515775038</v>
      </c>
    </row>
    <row r="197" spans="1:5" x14ac:dyDescent="0.25">
      <c r="A197">
        <f t="shared" si="5"/>
        <v>173</v>
      </c>
      <c r="C197" s="2">
        <f t="shared" si="6"/>
        <v>0.92222222222222228</v>
      </c>
      <c r="D197">
        <f t="array" ref="D197:E197">FEvaluate_Bezier($A$2:$A$8,$B$2:$B$8,1,2,3,4,$C197, "Chart 1")</f>
        <v>175.31523319615911</v>
      </c>
      <c r="E197">
        <v>213.40596570644718</v>
      </c>
    </row>
    <row r="198" spans="1:5" x14ac:dyDescent="0.25">
      <c r="A198">
        <f t="shared" si="5"/>
        <v>174</v>
      </c>
      <c r="C198" s="2">
        <f t="shared" si="6"/>
        <v>0.93333333333333335</v>
      </c>
      <c r="D198">
        <f t="array" ref="D198:E198">FEvaluate_Bezier($A$2:$A$8,$B$2:$B$8,1,2,3,4,$C198, "Chart 1")</f>
        <v>176.03259259259258</v>
      </c>
      <c r="E198">
        <v>213.93125925925929</v>
      </c>
    </row>
    <row r="199" spans="1:5" x14ac:dyDescent="0.25">
      <c r="A199">
        <f t="shared" si="5"/>
        <v>175</v>
      </c>
      <c r="C199" s="2">
        <f t="shared" si="6"/>
        <v>0.94444444444444442</v>
      </c>
      <c r="D199">
        <f t="array" ref="D199:E199">FEvaluate_Bezier($A$2:$A$8,$B$2:$B$8,1,2,3,4,$C199, "Chart 1")</f>
        <v>176.73439643347049</v>
      </c>
      <c r="E199">
        <v>214.45250342935529</v>
      </c>
    </row>
    <row r="200" spans="1:5" x14ac:dyDescent="0.25">
      <c r="A200">
        <f t="shared" si="5"/>
        <v>176</v>
      </c>
      <c r="C200" s="2">
        <f t="shared" si="6"/>
        <v>0.9555555555555556</v>
      </c>
      <c r="D200">
        <f t="array" ref="D200:E200">FEvaluate_Bezier($A$2:$A$8,$B$2:$B$8,1,2,3,4,$C200, "Chart 1")</f>
        <v>177.42035665294924</v>
      </c>
      <c r="E200">
        <v>214.96975582990399</v>
      </c>
    </row>
    <row r="201" spans="1:5" x14ac:dyDescent="0.25">
      <c r="A201">
        <f t="shared" si="5"/>
        <v>177</v>
      </c>
      <c r="C201" s="2">
        <f t="shared" si="6"/>
        <v>0.96666666666666667</v>
      </c>
      <c r="D201">
        <f t="array" ref="D201:E201">FEvaluate_Bezier($A$2:$A$8,$B$2:$B$8,1,2,3,4,$C201, "Chart 1")</f>
        <v>178.09018518518516</v>
      </c>
      <c r="E201">
        <v>215.48307407407407</v>
      </c>
    </row>
    <row r="202" spans="1:5" x14ac:dyDescent="0.25">
      <c r="A202">
        <f t="shared" si="5"/>
        <v>178</v>
      </c>
      <c r="C202" s="2">
        <f t="shared" si="6"/>
        <v>0.97777777777777775</v>
      </c>
      <c r="D202">
        <f t="array" ref="D202:E202">FEvaluate_Bezier($A$2:$A$8,$B$2:$B$8,1,2,3,4,$C202, "Chart 1")</f>
        <v>178.74359396433471</v>
      </c>
      <c r="E202">
        <v>215.99251577503429</v>
      </c>
    </row>
    <row r="203" spans="1:5" x14ac:dyDescent="0.25">
      <c r="A203">
        <f t="shared" si="5"/>
        <v>179</v>
      </c>
      <c r="C203" s="2">
        <f t="shared" si="6"/>
        <v>0.98888888888888893</v>
      </c>
      <c r="D203">
        <f t="array" ref="D203:E203">FEvaluate_Bezier($A$2:$A$8,$B$2:$B$8,1,2,3,4,$C203, "Chart 1")</f>
        <v>179.38029492455416</v>
      </c>
      <c r="E203">
        <v>216.49813854595337</v>
      </c>
    </row>
    <row r="204" spans="1:5" x14ac:dyDescent="0.25">
      <c r="A204" s="3">
        <f>A203+1</f>
        <v>180</v>
      </c>
      <c r="B204" s="3">
        <f>$B$4</f>
        <v>217</v>
      </c>
      <c r="C204" s="4">
        <v>0</v>
      </c>
      <c r="D204" s="3">
        <f>$A$204</f>
        <v>180</v>
      </c>
      <c r="E204" s="3">
        <f>$B$4</f>
        <v>217</v>
      </c>
    </row>
    <row r="205" spans="1:5" x14ac:dyDescent="0.25">
      <c r="A205">
        <f t="shared" ref="A205:A268" si="7">A204+1</f>
        <v>181</v>
      </c>
      <c r="C205" s="2">
        <f>(ROW(C205)-ROW($C$204))/(ROW($C$224)-ROW($C$204))</f>
        <v>0.05</v>
      </c>
      <c r="D205">
        <f t="array" ref="D205:E205">FEvaluate_Bezier($A$2:$A$8,$B$2:$B$8,2,3,4,5,$C205, "Chart 1")</f>
        <v>181.55318332330916</v>
      </c>
      <c r="E205">
        <v>218.32558183727932</v>
      </c>
    </row>
    <row r="206" spans="1:5" x14ac:dyDescent="0.25">
      <c r="A206">
        <f t="shared" si="7"/>
        <v>182</v>
      </c>
      <c r="C206" s="2">
        <f t="shared" ref="C206:C225" si="8">(ROW(C206)-ROW($C$204))/(ROW($C$224)-ROW($C$204))</f>
        <v>0.1</v>
      </c>
      <c r="D206">
        <f t="array" ref="D206:E206">FEvaluate_Bezier($A$2:$A$8,$B$2:$B$8,2,3,4,5,$C206, "Chart 1")</f>
        <v>183.0329072994698</v>
      </c>
      <c r="E206">
        <v>219.69260846808706</v>
      </c>
    </row>
    <row r="207" spans="1:5" x14ac:dyDescent="0.25">
      <c r="A207">
        <f t="shared" si="7"/>
        <v>183</v>
      </c>
      <c r="C207" s="2">
        <f t="shared" si="8"/>
        <v>0.15</v>
      </c>
      <c r="D207">
        <f t="array" ref="D207:E207">FEvaluate_Bezier($A$2:$A$8,$B$2:$B$8,2,3,4,5,$C207, "Chart 1")</f>
        <v>184.44171018242218</v>
      </c>
      <c r="E207">
        <v>221.09109204372507</v>
      </c>
    </row>
    <row r="208" spans="1:5" x14ac:dyDescent="0.25">
      <c r="A208">
        <f t="shared" si="7"/>
        <v>184</v>
      </c>
      <c r="C208" s="2">
        <f t="shared" si="8"/>
        <v>0.2</v>
      </c>
      <c r="D208">
        <f t="array" ref="D208:E208">FEvaluate_Bezier($A$2:$A$8,$B$2:$B$8,2,3,4,5,$C208, "Chart 1")</f>
        <v>185.78213022610686</v>
      </c>
      <c r="E208">
        <v>222.51104471549496</v>
      </c>
    </row>
    <row r="209" spans="1:5" x14ac:dyDescent="0.25">
      <c r="A209">
        <f t="shared" si="7"/>
        <v>185</v>
      </c>
      <c r="C209" s="2">
        <f t="shared" si="8"/>
        <v>0.25</v>
      </c>
      <c r="D209">
        <f t="array" ref="D209:E209">FEvaluate_Bezier($A$2:$A$8,$B$2:$B$8,2,3,4,5,$C209, "Chart 1")</f>
        <v>187.05670568446402</v>
      </c>
      <c r="E209">
        <v>223.94247863469866</v>
      </c>
    </row>
    <row r="210" spans="1:5" x14ac:dyDescent="0.25">
      <c r="A210">
        <f t="shared" si="7"/>
        <v>186</v>
      </c>
      <c r="C210" s="2">
        <f t="shared" si="8"/>
        <v>0.3</v>
      </c>
      <c r="D210">
        <f t="array" ref="D210:E210">FEvaluate_Bezier($A$2:$A$8,$B$2:$B$8,2,3,4,5,$C210, "Chart 1")</f>
        <v>188.26797481143416</v>
      </c>
      <c r="E210">
        <v>225.37540595263786</v>
      </c>
    </row>
    <row r="211" spans="1:5" x14ac:dyDescent="0.25">
      <c r="A211">
        <f t="shared" si="7"/>
        <v>187</v>
      </c>
      <c r="C211" s="2">
        <f t="shared" si="8"/>
        <v>0.35</v>
      </c>
      <c r="D211">
        <f t="array" ref="D211:E211">FEvaluate_Bezier($A$2:$A$8,$B$2:$B$8,2,3,4,5,$C211, "Chart 1")</f>
        <v>189.41847586095778</v>
      </c>
      <c r="E211">
        <v>226.7998388206143</v>
      </c>
    </row>
    <row r="212" spans="1:5" x14ac:dyDescent="0.25">
      <c r="A212">
        <f t="shared" si="7"/>
        <v>188</v>
      </c>
      <c r="C212" s="2">
        <f t="shared" si="8"/>
        <v>0.4</v>
      </c>
      <c r="D212">
        <f t="array" ref="D212:E212">FEvaluate_Bezier($A$2:$A$8,$B$2:$B$8,2,3,4,5,$C212, "Chart 1")</f>
        <v>190.51074708697513</v>
      </c>
      <c r="E212">
        <v>228.20578938992975</v>
      </c>
    </row>
    <row r="213" spans="1:5" x14ac:dyDescent="0.25">
      <c r="A213">
        <f t="shared" si="7"/>
        <v>189</v>
      </c>
      <c r="C213" s="2">
        <f t="shared" si="8"/>
        <v>0.45</v>
      </c>
      <c r="D213">
        <f t="array" ref="D213:E213">FEvaluate_Bezier($A$2:$A$8,$B$2:$B$8,2,3,4,5,$C213, "Chart 1")</f>
        <v>191.54732674342665</v>
      </c>
      <c r="E213">
        <v>229.58326981188594</v>
      </c>
    </row>
    <row r="214" spans="1:5" x14ac:dyDescent="0.25">
      <c r="A214">
        <f t="shared" si="7"/>
        <v>190</v>
      </c>
      <c r="C214" s="2">
        <f t="shared" si="8"/>
        <v>0.5</v>
      </c>
      <c r="D214">
        <f t="array" ref="D214:E214">FEvaluate_Bezier($A$2:$A$8,$B$2:$B$8,2,3,4,5,$C214, "Chart 1")</f>
        <v>192.53075308425267</v>
      </c>
      <c r="E214">
        <v>230.92229223778475</v>
      </c>
    </row>
    <row r="215" spans="1:5" x14ac:dyDescent="0.25">
      <c r="A215">
        <f t="shared" si="7"/>
        <v>191</v>
      </c>
      <c r="C215" s="2">
        <f t="shared" si="8"/>
        <v>0.55000000000000004</v>
      </c>
      <c r="D215">
        <f t="array" ref="D215:E215">FEvaluate_Bezier($A$2:$A$8,$B$2:$B$8,2,3,4,5,$C215, "Chart 1")</f>
        <v>193.46356436339371</v>
      </c>
      <c r="E215">
        <v>232.21286881892783</v>
      </c>
    </row>
    <row r="216" spans="1:5" x14ac:dyDescent="0.25">
      <c r="A216">
        <f t="shared" si="7"/>
        <v>192</v>
      </c>
      <c r="C216" s="2">
        <f t="shared" si="8"/>
        <v>0.6</v>
      </c>
      <c r="D216">
        <f t="array" ref="D216:E216">FEvaluate_Bezier($A$2:$A$8,$B$2:$B$8,2,3,4,5,$C216, "Chart 1")</f>
        <v>194.34829883479006</v>
      </c>
      <c r="E216">
        <v>233.44501170661698</v>
      </c>
    </row>
    <row r="217" spans="1:5" x14ac:dyDescent="0.25">
      <c r="A217">
        <f t="shared" si="7"/>
        <v>193</v>
      </c>
      <c r="C217" s="2">
        <f t="shared" si="8"/>
        <v>0.65</v>
      </c>
      <c r="D217">
        <f t="array" ref="D217:E217">FEvaluate_Bezier($A$2:$A$8,$B$2:$B$8,2,3,4,5,$C217, "Chart 1")</f>
        <v>195.18749475238209</v>
      </c>
      <c r="E217">
        <v>234.60873305215398</v>
      </c>
    </row>
    <row r="218" spans="1:5" x14ac:dyDescent="0.25">
      <c r="A218">
        <f t="shared" si="7"/>
        <v>194</v>
      </c>
      <c r="C218" s="2">
        <f t="shared" si="8"/>
        <v>0.7</v>
      </c>
      <c r="D218">
        <f t="array" ref="D218:E218">FEvaluate_Bezier($A$2:$A$8,$B$2:$B$8,2,3,4,5,$C218, "Chart 1")</f>
        <v>195.98369037011034</v>
      </c>
      <c r="E218">
        <v>235.69404500684053</v>
      </c>
    </row>
    <row r="219" spans="1:5" x14ac:dyDescent="0.25">
      <c r="A219">
        <f t="shared" si="7"/>
        <v>195</v>
      </c>
      <c r="C219" s="2">
        <f t="shared" si="8"/>
        <v>0.75</v>
      </c>
      <c r="D219">
        <f t="array" ref="D219:E219">FEvaluate_Bezier($A$2:$A$8,$B$2:$B$8,2,3,4,5,$C219, "Chart 1")</f>
        <v>196.73942394191502</v>
      </c>
      <c r="E219">
        <v>236.69095972197843</v>
      </c>
    </row>
    <row r="220" spans="1:5" x14ac:dyDescent="0.25">
      <c r="A220">
        <f t="shared" si="7"/>
        <v>196</v>
      </c>
      <c r="C220" s="2">
        <f t="shared" si="8"/>
        <v>0.8</v>
      </c>
      <c r="D220">
        <f t="array" ref="D220:E220">FEvaluate_Bezier($A$2:$A$8,$B$2:$B$8,2,3,4,5,$C220, "Chart 1")</f>
        <v>197.45723372173666</v>
      </c>
      <c r="E220">
        <v>237.58948934886948</v>
      </c>
    </row>
    <row r="221" spans="1:5" x14ac:dyDescent="0.25">
      <c r="A221">
        <f t="shared" si="7"/>
        <v>197</v>
      </c>
      <c r="C221" s="2">
        <f t="shared" si="8"/>
        <v>0.85</v>
      </c>
      <c r="D221">
        <f t="array" ref="D221:E221">FEvaluate_Bezier($A$2:$A$8,$B$2:$B$8,2,3,4,5,$C221, "Chart 1")</f>
        <v>198.13965796351556</v>
      </c>
      <c r="E221">
        <v>238.37964603881539</v>
      </c>
    </row>
    <row r="222" spans="1:5" x14ac:dyDescent="0.25">
      <c r="A222">
        <f t="shared" si="7"/>
        <v>198</v>
      </c>
      <c r="C222" s="2">
        <f t="shared" si="8"/>
        <v>0.9</v>
      </c>
      <c r="D222">
        <f t="array" ref="D222:E222">FEvaluate_Bezier($A$2:$A$8,$B$2:$B$8,2,3,4,5,$C222, "Chart 1")</f>
        <v>198.78923492119219</v>
      </c>
      <c r="E222">
        <v>239.05144194311796</v>
      </c>
    </row>
    <row r="223" spans="1:5" x14ac:dyDescent="0.25">
      <c r="A223">
        <f t="shared" si="7"/>
        <v>199</v>
      </c>
      <c r="C223" s="2">
        <f t="shared" si="8"/>
        <v>0.95</v>
      </c>
      <c r="D223">
        <f t="array" ref="D223:E223">FEvaluate_Bezier($A$2:$A$8,$B$2:$B$8,2,3,4,5,$C223, "Chart 1")</f>
        <v>199.4085028487068</v>
      </c>
      <c r="E223">
        <v>239.59488921307889</v>
      </c>
    </row>
    <row r="224" spans="1:5" x14ac:dyDescent="0.25">
      <c r="A224" s="3">
        <f t="shared" si="7"/>
        <v>200</v>
      </c>
      <c r="B224" s="3">
        <f>$B$5</f>
        <v>240</v>
      </c>
      <c r="C224" s="4">
        <v>0</v>
      </c>
      <c r="D224" s="3">
        <f>$A$224</f>
        <v>200</v>
      </c>
      <c r="E224" s="3">
        <f>$B$5</f>
        <v>240</v>
      </c>
    </row>
    <row r="225" spans="1:5" x14ac:dyDescent="0.25">
      <c r="A225">
        <f t="shared" si="7"/>
        <v>201</v>
      </c>
      <c r="C225" s="2">
        <f>(ROW(C225)-ROW($C$224))/(ROW($C$244)-ROW($C$224))</f>
        <v>0.05</v>
      </c>
      <c r="D225">
        <f t="array" ref="D225:E225">FEvaluate_Bezier($A$2:$A$8,$B$2:$B$8,3,4,5,6,$C225, "Chart 1")</f>
        <v>200.99999999999997</v>
      </c>
      <c r="E225">
        <v>240.54625000000001</v>
      </c>
    </row>
    <row r="226" spans="1:5" x14ac:dyDescent="0.25">
      <c r="A226">
        <f t="shared" si="7"/>
        <v>202</v>
      </c>
      <c r="C226" s="2">
        <f t="shared" ref="C226:C245" si="9">(ROW(C226)-ROW($C$224))/(ROW($C$244)-ROW($C$224))</f>
        <v>0.1</v>
      </c>
      <c r="D226">
        <f t="array" ref="D226:E226">FEvaluate_Bezier($A$2:$A$8,$B$2:$B$8,3,4,5,6,$C226, "Chart 1")</f>
        <v>202.00000000000003</v>
      </c>
      <c r="E226">
        <v>241.035</v>
      </c>
    </row>
    <row r="227" spans="1:5" x14ac:dyDescent="0.25">
      <c r="A227">
        <f t="shared" si="7"/>
        <v>203</v>
      </c>
      <c r="C227" s="2">
        <f t="shared" si="9"/>
        <v>0.15</v>
      </c>
      <c r="D227">
        <f t="array" ref="D227:E227">FEvaluate_Bezier($A$2:$A$8,$B$2:$B$8,3,4,5,6,$C227, "Chart 1")</f>
        <v>203</v>
      </c>
      <c r="E227">
        <v>241.46625000000003</v>
      </c>
    </row>
    <row r="228" spans="1:5" x14ac:dyDescent="0.25">
      <c r="A228">
        <f t="shared" si="7"/>
        <v>204</v>
      </c>
      <c r="C228" s="2">
        <f t="shared" si="9"/>
        <v>0.2</v>
      </c>
      <c r="D228">
        <f t="array" ref="D228:E228">FEvaluate_Bezier($A$2:$A$8,$B$2:$B$8,3,4,5,6,$C228, "Chart 1")</f>
        <v>204.00000000000006</v>
      </c>
      <c r="E228">
        <v>241.84</v>
      </c>
    </row>
    <row r="229" spans="1:5" x14ac:dyDescent="0.25">
      <c r="A229">
        <f t="shared" si="7"/>
        <v>205</v>
      </c>
      <c r="C229" s="2">
        <f t="shared" si="9"/>
        <v>0.25</v>
      </c>
      <c r="D229">
        <f t="array" ref="D229:E229">FEvaluate_Bezier($A$2:$A$8,$B$2:$B$8,3,4,5,6,$C229, "Chart 1")</f>
        <v>205</v>
      </c>
      <c r="E229">
        <v>242.15625000000003</v>
      </c>
    </row>
    <row r="230" spans="1:5" x14ac:dyDescent="0.25">
      <c r="A230">
        <f t="shared" si="7"/>
        <v>206</v>
      </c>
      <c r="C230" s="2">
        <f t="shared" si="9"/>
        <v>0.3</v>
      </c>
      <c r="D230">
        <f t="array" ref="D230:E230">FEvaluate_Bezier($A$2:$A$8,$B$2:$B$8,3,4,5,6,$C230, "Chart 1")</f>
        <v>205.99999999999997</v>
      </c>
      <c r="E230">
        <v>242.41500000000005</v>
      </c>
    </row>
    <row r="231" spans="1:5" x14ac:dyDescent="0.25">
      <c r="A231">
        <f t="shared" si="7"/>
        <v>207</v>
      </c>
      <c r="C231" s="2">
        <f t="shared" si="9"/>
        <v>0.35</v>
      </c>
      <c r="D231">
        <f t="array" ref="D231:E231">FEvaluate_Bezier($A$2:$A$8,$B$2:$B$8,3,4,5,6,$C231, "Chart 1")</f>
        <v>206.99999999999997</v>
      </c>
      <c r="E231">
        <v>242.61625000000004</v>
      </c>
    </row>
    <row r="232" spans="1:5" x14ac:dyDescent="0.25">
      <c r="A232">
        <f t="shared" si="7"/>
        <v>208</v>
      </c>
      <c r="C232" s="2">
        <f t="shared" si="9"/>
        <v>0.4</v>
      </c>
      <c r="D232">
        <f t="array" ref="D232:E232">FEvaluate_Bezier($A$2:$A$8,$B$2:$B$8,3,4,5,6,$C232, "Chart 1")</f>
        <v>208</v>
      </c>
      <c r="E232">
        <v>242.76000000000002</v>
      </c>
    </row>
    <row r="233" spans="1:5" x14ac:dyDescent="0.25">
      <c r="A233">
        <f t="shared" si="7"/>
        <v>209</v>
      </c>
      <c r="C233" s="2">
        <f t="shared" si="9"/>
        <v>0.45</v>
      </c>
      <c r="D233">
        <f t="array" ref="D233:E233">FEvaluate_Bezier($A$2:$A$8,$B$2:$B$8,3,4,5,6,$C233, "Chart 1")</f>
        <v>209.00000000000003</v>
      </c>
      <c r="E233">
        <v>242.84625</v>
      </c>
    </row>
    <row r="234" spans="1:5" x14ac:dyDescent="0.25">
      <c r="A234">
        <f t="shared" si="7"/>
        <v>210</v>
      </c>
      <c r="C234" s="2">
        <f t="shared" si="9"/>
        <v>0.5</v>
      </c>
      <c r="D234">
        <f t="array" ref="D234:E234">FEvaluate_Bezier($A$2:$A$8,$B$2:$B$8,3,4,5,6,$C234, "Chart 1")</f>
        <v>210</v>
      </c>
      <c r="E234">
        <v>242.875</v>
      </c>
    </row>
    <row r="235" spans="1:5" x14ac:dyDescent="0.25">
      <c r="A235">
        <f t="shared" si="7"/>
        <v>211</v>
      </c>
      <c r="C235" s="2">
        <f t="shared" si="9"/>
        <v>0.55000000000000004</v>
      </c>
      <c r="D235">
        <f t="array" ref="D235:E235">FEvaluate_Bezier($A$2:$A$8,$B$2:$B$8,3,4,5,6,$C235, "Chart 1")</f>
        <v>211</v>
      </c>
      <c r="E235">
        <v>242.84625000000005</v>
      </c>
    </row>
    <row r="236" spans="1:5" x14ac:dyDescent="0.25">
      <c r="A236">
        <f t="shared" si="7"/>
        <v>212</v>
      </c>
      <c r="C236" s="2">
        <f t="shared" si="9"/>
        <v>0.6</v>
      </c>
      <c r="D236">
        <f t="array" ref="D236:E236">FEvaluate_Bezier($A$2:$A$8,$B$2:$B$8,3,4,5,6,$C236, "Chart 1")</f>
        <v>212</v>
      </c>
      <c r="E236">
        <v>242.76000000000002</v>
      </c>
    </row>
    <row r="237" spans="1:5" x14ac:dyDescent="0.25">
      <c r="A237">
        <f t="shared" si="7"/>
        <v>213</v>
      </c>
      <c r="C237" s="2">
        <f t="shared" si="9"/>
        <v>0.65</v>
      </c>
      <c r="D237">
        <f t="array" ref="D237:E237">FEvaluate_Bezier($A$2:$A$8,$B$2:$B$8,3,4,5,6,$C237, "Chart 1")</f>
        <v>212.99999999999994</v>
      </c>
      <c r="E237">
        <v>242.61625000000004</v>
      </c>
    </row>
    <row r="238" spans="1:5" x14ac:dyDescent="0.25">
      <c r="A238">
        <f t="shared" si="7"/>
        <v>214</v>
      </c>
      <c r="C238" s="2">
        <f t="shared" si="9"/>
        <v>0.7</v>
      </c>
      <c r="D238">
        <f t="array" ref="D238:E238">FEvaluate_Bezier($A$2:$A$8,$B$2:$B$8,3,4,5,6,$C238, "Chart 1")</f>
        <v>213.99999999999997</v>
      </c>
      <c r="E238">
        <v>242.41500000000002</v>
      </c>
    </row>
    <row r="239" spans="1:5" x14ac:dyDescent="0.25">
      <c r="A239">
        <f t="shared" si="7"/>
        <v>215</v>
      </c>
      <c r="C239" s="2">
        <f t="shared" si="9"/>
        <v>0.75</v>
      </c>
      <c r="D239">
        <f t="array" ref="D239:E239">FEvaluate_Bezier($A$2:$A$8,$B$2:$B$8,3,4,5,6,$C239, "Chart 1")</f>
        <v>214.99999999999997</v>
      </c>
      <c r="E239">
        <v>242.15625000000003</v>
      </c>
    </row>
    <row r="240" spans="1:5" x14ac:dyDescent="0.25">
      <c r="A240">
        <f t="shared" si="7"/>
        <v>216</v>
      </c>
      <c r="C240" s="2">
        <f t="shared" si="9"/>
        <v>0.8</v>
      </c>
      <c r="D240">
        <f t="array" ref="D240:E240">FEvaluate_Bezier($A$2:$A$8,$B$2:$B$8,3,4,5,6,$C240, "Chart 1")</f>
        <v>216</v>
      </c>
      <c r="E240">
        <v>241.84</v>
      </c>
    </row>
    <row r="241" spans="1:5" x14ac:dyDescent="0.25">
      <c r="A241">
        <f t="shared" si="7"/>
        <v>217</v>
      </c>
      <c r="C241" s="2">
        <f t="shared" si="9"/>
        <v>0.85</v>
      </c>
      <c r="D241">
        <f t="array" ref="D241:E241">FEvaluate_Bezier($A$2:$A$8,$B$2:$B$8,3,4,5,6,$C241, "Chart 1")</f>
        <v>216.99999999999994</v>
      </c>
      <c r="E241">
        <v>241.46625000000003</v>
      </c>
    </row>
    <row r="242" spans="1:5" x14ac:dyDescent="0.25">
      <c r="A242">
        <f t="shared" si="7"/>
        <v>218</v>
      </c>
      <c r="C242" s="2">
        <f t="shared" si="9"/>
        <v>0.9</v>
      </c>
      <c r="D242">
        <f t="array" ref="D242:E242">FEvaluate_Bezier($A$2:$A$8,$B$2:$B$8,3,4,5,6,$C242, "Chart 1")</f>
        <v>217.99999999999997</v>
      </c>
      <c r="E242">
        <v>241.035</v>
      </c>
    </row>
    <row r="243" spans="1:5" x14ac:dyDescent="0.25">
      <c r="A243">
        <f t="shared" si="7"/>
        <v>219</v>
      </c>
      <c r="C243" s="2">
        <f t="shared" si="9"/>
        <v>0.95</v>
      </c>
      <c r="D243">
        <f t="array" ref="D243:E243">FEvaluate_Bezier($A$2:$A$8,$B$2:$B$8,3,4,5,6,$C243, "Chart 1")</f>
        <v>218.99999999999997</v>
      </c>
      <c r="E243">
        <v>240.54625000000001</v>
      </c>
    </row>
    <row r="244" spans="1:5" x14ac:dyDescent="0.25">
      <c r="A244" s="3">
        <f t="shared" si="7"/>
        <v>220</v>
      </c>
      <c r="B244" s="3">
        <f>$B$6</f>
        <v>240</v>
      </c>
      <c r="C244" s="4">
        <v>0</v>
      </c>
      <c r="D244" s="3">
        <f>$A$244</f>
        <v>220</v>
      </c>
      <c r="E244" s="3">
        <f>$B$6</f>
        <v>240</v>
      </c>
    </row>
    <row r="245" spans="1:5" x14ac:dyDescent="0.25">
      <c r="A245">
        <f t="shared" si="7"/>
        <v>221</v>
      </c>
      <c r="C245" s="2">
        <f>(ROW(C245)-ROW($C$244))/(ROW($C$264)-ROW($C$244))</f>
        <v>0.05</v>
      </c>
      <c r="D245">
        <f t="array" ref="D245:E245">FEvaluate_Bezier($A$2:$A$8,$B$2:$B$8,4,5,6,7,$C245, "Chart 1")</f>
        <v>220.65640308886185</v>
      </c>
      <c r="E245">
        <v>239.6733464989756</v>
      </c>
    </row>
    <row r="246" spans="1:5" x14ac:dyDescent="0.25">
      <c r="A246">
        <f t="shared" si="7"/>
        <v>222</v>
      </c>
      <c r="C246" s="2">
        <f t="shared" ref="C246:C263" si="10">(ROW(C246)-ROW($C$244))/(ROW($C$264)-ROW($C$244))</f>
        <v>0.1</v>
      </c>
      <c r="D246">
        <f t="array" ref="D246:E246">FEvaluate_Bezier($A$2:$A$8,$B$2:$B$8,4,5,6,7,$C246, "Chart 1")</f>
        <v>221.40614654880636</v>
      </c>
      <c r="E246">
        <v>239.3778360399692</v>
      </c>
    </row>
    <row r="247" spans="1:5" x14ac:dyDescent="0.25">
      <c r="A247">
        <f t="shared" si="7"/>
        <v>223</v>
      </c>
      <c r="C247" s="2">
        <f t="shared" si="10"/>
        <v>0.15</v>
      </c>
      <c r="D247">
        <f t="array" ref="D247:E247">FEvaluate_Bezier($A$2:$A$8,$B$2:$B$8,4,5,6,7,$C247, "Chart 1")</f>
        <v>222.23970166730439</v>
      </c>
      <c r="E247">
        <v>239.09383344055723</v>
      </c>
    </row>
    <row r="248" spans="1:5" x14ac:dyDescent="0.25">
      <c r="A248">
        <f t="shared" si="7"/>
        <v>224</v>
      </c>
      <c r="C248" s="2">
        <f t="shared" si="10"/>
        <v>0.2</v>
      </c>
      <c r="D248">
        <f t="array" ref="D248:E248">FEvaluate_Bezier($A$2:$A$8,$B$2:$B$8,4,5,6,7,$C248, "Chart 1")</f>
        <v>223.14753973182735</v>
      </c>
      <c r="E248">
        <v>238.80170351831597</v>
      </c>
    </row>
    <row r="249" spans="1:5" x14ac:dyDescent="0.25">
      <c r="A249">
        <f t="shared" si="7"/>
        <v>225</v>
      </c>
      <c r="C249" s="2">
        <f t="shared" si="10"/>
        <v>0.25</v>
      </c>
      <c r="D249">
        <f t="array" ref="D249:E249">FEvaluate_Bezier($A$2:$A$8,$B$2:$B$8,4,5,6,7,$C249, "Chart 1")</f>
        <v>224.12013202984613</v>
      </c>
      <c r="E249">
        <v>238.48181109082196</v>
      </c>
    </row>
    <row r="250" spans="1:5" x14ac:dyDescent="0.25">
      <c r="A250">
        <f t="shared" si="7"/>
        <v>226</v>
      </c>
      <c r="C250" s="2">
        <f t="shared" si="10"/>
        <v>0.3</v>
      </c>
      <c r="D250">
        <f t="array" ref="D250:E250">FEvaluate_Bezier($A$2:$A$8,$B$2:$B$8,4,5,6,7,$C250, "Chart 1")</f>
        <v>225.14794984883196</v>
      </c>
      <c r="E250">
        <v>238.1145209756514</v>
      </c>
    </row>
    <row r="251" spans="1:5" x14ac:dyDescent="0.25">
      <c r="A251">
        <f t="shared" si="7"/>
        <v>227</v>
      </c>
      <c r="C251" s="2">
        <f t="shared" si="10"/>
        <v>0.35</v>
      </c>
      <c r="D251">
        <f t="array" ref="D251:E251">FEvaluate_Bezier($A$2:$A$8,$B$2:$B$8,4,5,6,7,$C251, "Chart 1")</f>
        <v>226.22146447625599</v>
      </c>
      <c r="E251">
        <v>237.68019799038072</v>
      </c>
    </row>
    <row r="252" spans="1:5" x14ac:dyDescent="0.25">
      <c r="A252">
        <f t="shared" si="7"/>
        <v>228</v>
      </c>
      <c r="C252" s="2">
        <f t="shared" si="10"/>
        <v>0.4</v>
      </c>
      <c r="D252">
        <f t="array" ref="D252:E252">FEvaluate_Bezier($A$2:$A$8,$B$2:$B$8,4,5,6,7,$C252, "Chart 1")</f>
        <v>227.33114719958928</v>
      </c>
      <c r="E252">
        <v>237.15920695258629</v>
      </c>
    </row>
    <row r="253" spans="1:5" x14ac:dyDescent="0.25">
      <c r="A253">
        <f t="shared" si="7"/>
        <v>229</v>
      </c>
      <c r="C253" s="2">
        <f t="shared" si="10"/>
        <v>0.45</v>
      </c>
      <c r="D253">
        <f t="array" ref="D253:E253">FEvaluate_Bezier($A$2:$A$8,$B$2:$B$8,4,5,6,7,$C253, "Chart 1")</f>
        <v>228.46746930630303</v>
      </c>
      <c r="E253">
        <v>236.53191267984451</v>
      </c>
    </row>
    <row r="254" spans="1:5" x14ac:dyDescent="0.25">
      <c r="A254">
        <f t="shared" si="7"/>
        <v>230</v>
      </c>
      <c r="C254" s="2">
        <f t="shared" si="10"/>
        <v>0.5</v>
      </c>
      <c r="D254">
        <f t="array" ref="D254:E254">FEvaluate_Bezier($A$2:$A$8,$B$2:$B$8,4,5,6,7,$C254, "Chart 1")</f>
        <v>229.62090208386817</v>
      </c>
      <c r="E254">
        <v>235.77867998973173</v>
      </c>
    </row>
    <row r="255" spans="1:5" x14ac:dyDescent="0.25">
      <c r="A255">
        <f t="shared" si="7"/>
        <v>231</v>
      </c>
      <c r="C255" s="2">
        <f t="shared" si="10"/>
        <v>0.55000000000000004</v>
      </c>
      <c r="D255">
        <f t="array" ref="D255:E255">FEvaluate_Bezier($A$2:$A$8,$B$2:$B$8,4,5,6,7,$C255, "Chart 1")</f>
        <v>230.78191681975602</v>
      </c>
      <c r="E255">
        <v>234.87987369982426</v>
      </c>
    </row>
    <row r="256" spans="1:5" x14ac:dyDescent="0.25">
      <c r="A256">
        <f t="shared" si="7"/>
        <v>232</v>
      </c>
      <c r="C256" s="2">
        <f t="shared" si="10"/>
        <v>0.6</v>
      </c>
      <c r="D256">
        <f t="array" ref="D256:E256">FEvaluate_Bezier($A$2:$A$8,$B$2:$B$8,4,5,6,7,$C256, "Chart 1")</f>
        <v>231.94098480143759</v>
      </c>
      <c r="E256">
        <v>233.81585862769856</v>
      </c>
    </row>
    <row r="257" spans="1:5" x14ac:dyDescent="0.25">
      <c r="A257">
        <f t="shared" si="7"/>
        <v>233</v>
      </c>
      <c r="C257" s="2">
        <f t="shared" si="10"/>
        <v>0.65</v>
      </c>
      <c r="D257">
        <f t="array" ref="D257:E257">FEvaluate_Bezier($A$2:$A$8,$B$2:$B$8,4,5,6,7,$C257, "Chart 1")</f>
        <v>233.08857731638403</v>
      </c>
      <c r="E257">
        <v>232.56699959093098</v>
      </c>
    </row>
    <row r="258" spans="1:5" x14ac:dyDescent="0.25">
      <c r="A258">
        <f t="shared" si="7"/>
        <v>234</v>
      </c>
      <c r="C258" s="2">
        <f t="shared" si="10"/>
        <v>0.7</v>
      </c>
      <c r="D258">
        <f t="array" ref="D258:E258">FEvaluate_Bezier($A$2:$A$8,$B$2:$B$8,4,5,6,7,$C258, "Chart 1")</f>
        <v>234.2151656520665</v>
      </c>
      <c r="E258">
        <v>231.11366140709791</v>
      </c>
    </row>
    <row r="259" spans="1:5" x14ac:dyDescent="0.25">
      <c r="A259">
        <f t="shared" si="7"/>
        <v>235</v>
      </c>
      <c r="C259" s="2">
        <f t="shared" si="10"/>
        <v>0.75</v>
      </c>
      <c r="D259">
        <f t="array" ref="D259:E259">FEvaluate_Bezier($A$2:$A$8,$B$2:$B$8,4,5,6,7,$C259, "Chart 1")</f>
        <v>235.31122109595609</v>
      </c>
      <c r="E259">
        <v>229.43620889377559</v>
      </c>
    </row>
    <row r="260" spans="1:5" x14ac:dyDescent="0.25">
      <c r="A260">
        <f t="shared" si="7"/>
        <v>236</v>
      </c>
      <c r="C260" s="2">
        <f t="shared" si="10"/>
        <v>0.8</v>
      </c>
      <c r="D260">
        <f t="array" ref="D260:E260">FEvaluate_Bezier($A$2:$A$8,$B$2:$B$8,4,5,6,7,$C260, "Chart 1")</f>
        <v>236.36721493552395</v>
      </c>
      <c r="E260">
        <v>227.51500686854055</v>
      </c>
    </row>
    <row r="261" spans="1:5" x14ac:dyDescent="0.25">
      <c r="A261">
        <f t="shared" si="7"/>
        <v>237</v>
      </c>
      <c r="C261" s="2">
        <f t="shared" si="10"/>
        <v>0.85</v>
      </c>
      <c r="D261">
        <f t="array" ref="D261:E261">FEvaluate_Bezier($A$2:$A$8,$B$2:$B$8,4,5,6,7,$C261, "Chart 1")</f>
        <v>237.37361845824108</v>
      </c>
      <c r="E261">
        <v>225.33042014896913</v>
      </c>
    </row>
    <row r="262" spans="1:5" x14ac:dyDescent="0.25">
      <c r="A262">
        <f t="shared" si="7"/>
        <v>238</v>
      </c>
      <c r="C262" s="2">
        <f t="shared" si="10"/>
        <v>0.9</v>
      </c>
      <c r="D262">
        <f t="array" ref="D262:E262">FEvaluate_Bezier($A$2:$A$8,$B$2:$B$8,4,5,6,7,$C262, "Chart 1")</f>
        <v>238.32090295157877</v>
      </c>
      <c r="E262">
        <v>222.86281355263765</v>
      </c>
    </row>
    <row r="263" spans="1:5" x14ac:dyDescent="0.25">
      <c r="A263">
        <f t="shared" si="7"/>
        <v>239</v>
      </c>
      <c r="C263" s="2">
        <f t="shared" si="10"/>
        <v>0.95</v>
      </c>
      <c r="D263">
        <f t="array" ref="D263:E263">FEvaluate_Bezier($A$2:$A$8,$B$2:$B$8,4,5,6,7,$C263, "Chart 1")</f>
        <v>239.19953970300804</v>
      </c>
      <c r="E263">
        <v>220.09255189712249</v>
      </c>
    </row>
    <row r="264" spans="1:5" x14ac:dyDescent="0.25">
      <c r="A264" s="3">
        <f t="shared" si="7"/>
        <v>240</v>
      </c>
      <c r="B264" s="3">
        <f>$B$7</f>
        <v>217</v>
      </c>
      <c r="C264" s="4">
        <v>0</v>
      </c>
      <c r="D264" s="3">
        <f>$A$264</f>
        <v>240</v>
      </c>
      <c r="E264" s="3">
        <f>$B$7</f>
        <v>217</v>
      </c>
    </row>
    <row r="265" spans="1:5" x14ac:dyDescent="0.25">
      <c r="A265" s="5">
        <f t="shared" si="7"/>
        <v>241</v>
      </c>
      <c r="B265" s="5"/>
      <c r="C265" s="2">
        <f>(ROW(C265)-ROW($C$264))/(ROW($C$294)-ROW($C$264))</f>
        <v>3.3333333333333333E-2</v>
      </c>
      <c r="D265">
        <f t="array" ref="D265:E265">FEvaluate_Bezier($A$2:$A$8,$B$2:$B$8,5,6,7,7,$C265, "Chart 1")</f>
        <v>240.84425925925927</v>
      </c>
      <c r="E265">
        <v>213.23201851851852</v>
      </c>
    </row>
    <row r="266" spans="1:5" x14ac:dyDescent="0.25">
      <c r="A266">
        <f t="shared" si="7"/>
        <v>242</v>
      </c>
      <c r="C266" s="2">
        <f t="shared" ref="C266:C293" si="11">(ROW(C266)-ROW($C$264))/(ROW($C$294)-ROW($C$264))</f>
        <v>6.6666666666666666E-2</v>
      </c>
      <c r="D266">
        <f t="array" ref="D266:E266">FEvaluate_Bezier($A$2:$A$8,$B$2:$B$8,5,6,7,7,$C266, "Chart 1")</f>
        <v>241.70962962962966</v>
      </c>
      <c r="E266">
        <v>209.10725925925925</v>
      </c>
    </row>
    <row r="267" spans="1:5" x14ac:dyDescent="0.25">
      <c r="A267">
        <f t="shared" si="7"/>
        <v>243</v>
      </c>
      <c r="C267" s="2">
        <f t="shared" si="11"/>
        <v>0.1</v>
      </c>
      <c r="D267">
        <f t="array" ref="D267:E267">FEvaluate_Bezier($A$2:$A$8,$B$2:$B$8,5,6,7,7,$C267, "Chart 1")</f>
        <v>242.59500000000003</v>
      </c>
      <c r="E267">
        <v>204.64449999999999</v>
      </c>
    </row>
    <row r="268" spans="1:5" x14ac:dyDescent="0.25">
      <c r="A268">
        <f t="shared" si="7"/>
        <v>244</v>
      </c>
      <c r="C268" s="2">
        <f t="shared" si="11"/>
        <v>0.13333333333333333</v>
      </c>
      <c r="D268">
        <f t="array" ref="D268:E268">FEvaluate_Bezier($A$2:$A$8,$B$2:$B$8,5,6,7,7,$C268, "Chart 1")</f>
        <v>243.4992592592593</v>
      </c>
      <c r="E268">
        <v>199.8625185185185</v>
      </c>
    </row>
    <row r="269" spans="1:5" x14ac:dyDescent="0.25">
      <c r="A269">
        <f t="shared" ref="A269:A294" si="12">A268+1</f>
        <v>245</v>
      </c>
      <c r="C269" s="2">
        <f t="shared" si="11"/>
        <v>0.16666666666666666</v>
      </c>
      <c r="D269">
        <f t="array" ref="D269:E269">FEvaluate_Bezier($A$2:$A$8,$B$2:$B$8,5,6,7,7,$C269, "Chart 1")</f>
        <v>244.42129629629633</v>
      </c>
      <c r="E269">
        <v>194.78009259259258</v>
      </c>
    </row>
    <row r="270" spans="1:5" x14ac:dyDescent="0.25">
      <c r="A270">
        <f t="shared" si="12"/>
        <v>246</v>
      </c>
      <c r="C270" s="2">
        <f t="shared" si="11"/>
        <v>0.2</v>
      </c>
      <c r="D270">
        <f t="array" ref="D270:E270">FEvaluate_Bezier($A$2:$A$8,$B$2:$B$8,5,6,7,7,$C270, "Chart 1")</f>
        <v>245.3600000000001</v>
      </c>
      <c r="E270">
        <v>189.41599999999997</v>
      </c>
    </row>
    <row r="271" spans="1:5" x14ac:dyDescent="0.25">
      <c r="A271">
        <f t="shared" si="12"/>
        <v>247</v>
      </c>
      <c r="C271" s="2">
        <f t="shared" si="11"/>
        <v>0.23333333333333334</v>
      </c>
      <c r="D271">
        <f t="array" ref="D271:E271">FEvaluate_Bezier($A$2:$A$8,$B$2:$B$8,5,6,7,7,$C271, "Chart 1")</f>
        <v>246.31425925925925</v>
      </c>
      <c r="E271">
        <v>183.78901851851856</v>
      </c>
    </row>
    <row r="272" spans="1:5" x14ac:dyDescent="0.25">
      <c r="A272">
        <f t="shared" si="12"/>
        <v>248</v>
      </c>
      <c r="C272" s="2">
        <f t="shared" si="11"/>
        <v>0.26666666666666666</v>
      </c>
      <c r="D272">
        <f t="array" ref="D272:E272">FEvaluate_Bezier($A$2:$A$8,$B$2:$B$8,5,6,7,7,$C272, "Chart 1")</f>
        <v>247.28296296296298</v>
      </c>
      <c r="E272">
        <v>177.91792592592591</v>
      </c>
    </row>
    <row r="273" spans="1:5" x14ac:dyDescent="0.25">
      <c r="A273">
        <f t="shared" si="12"/>
        <v>249</v>
      </c>
      <c r="C273" s="2">
        <f t="shared" si="11"/>
        <v>0.3</v>
      </c>
      <c r="D273">
        <f t="array" ref="D273:E273">FEvaluate_Bezier($A$2:$A$8,$B$2:$B$8,5,6,7,7,$C273, "Chart 1")</f>
        <v>248.26500000000001</v>
      </c>
      <c r="E273">
        <v>171.82150000000007</v>
      </c>
    </row>
    <row r="274" spans="1:5" x14ac:dyDescent="0.25">
      <c r="A274">
        <f t="shared" si="12"/>
        <v>250</v>
      </c>
      <c r="C274" s="2">
        <f t="shared" si="11"/>
        <v>0.33333333333333331</v>
      </c>
      <c r="D274">
        <f t="array" ref="D274:E274">FEvaluate_Bezier($A$2:$A$8,$B$2:$B$8,5,6,7,7,$C274, "Chart 1")</f>
        <v>249.25925925925932</v>
      </c>
      <c r="E274">
        <v>165.5185185185185</v>
      </c>
    </row>
    <row r="275" spans="1:5" x14ac:dyDescent="0.25">
      <c r="A275">
        <f t="shared" si="12"/>
        <v>251</v>
      </c>
      <c r="C275" s="2">
        <f t="shared" si="11"/>
        <v>0.36666666666666664</v>
      </c>
      <c r="D275">
        <f t="array" ref="D275:E275">FEvaluate_Bezier($A$2:$A$8,$B$2:$B$8,5,6,7,7,$C275, "Chart 1")</f>
        <v>250.26462962962961</v>
      </c>
      <c r="E275">
        <v>159.02775925925931</v>
      </c>
    </row>
    <row r="276" spans="1:5" x14ac:dyDescent="0.25">
      <c r="A276">
        <f t="shared" si="12"/>
        <v>252</v>
      </c>
      <c r="C276" s="2">
        <f t="shared" si="11"/>
        <v>0.4</v>
      </c>
      <c r="D276">
        <f t="array" ref="D276:E276">FEvaluate_Bezier($A$2:$A$8,$B$2:$B$8,5,6,7,7,$C276, "Chart 1")</f>
        <v>251.28000000000003</v>
      </c>
      <c r="E276">
        <v>152.36799999999999</v>
      </c>
    </row>
    <row r="277" spans="1:5" x14ac:dyDescent="0.25">
      <c r="A277">
        <f t="shared" si="12"/>
        <v>253</v>
      </c>
      <c r="C277" s="2">
        <f t="shared" si="11"/>
        <v>0.43333333333333335</v>
      </c>
      <c r="D277">
        <f t="array" ref="D277:E277">FEvaluate_Bezier($A$2:$A$8,$B$2:$B$8,5,6,7,7,$C277, "Chart 1")</f>
        <v>252.30425925925928</v>
      </c>
      <c r="E277">
        <v>145.55801851851854</v>
      </c>
    </row>
    <row r="278" spans="1:5" x14ac:dyDescent="0.25">
      <c r="A278">
        <f t="shared" si="12"/>
        <v>254</v>
      </c>
      <c r="C278" s="2">
        <f t="shared" si="11"/>
        <v>0.46666666666666667</v>
      </c>
      <c r="D278">
        <f t="array" ref="D278:E278">FEvaluate_Bezier($A$2:$A$8,$B$2:$B$8,5,6,7,7,$C278, "Chart 1")</f>
        <v>253.33629629629635</v>
      </c>
      <c r="E278">
        <v>138.61659259259258</v>
      </c>
    </row>
    <row r="279" spans="1:5" x14ac:dyDescent="0.25">
      <c r="A279">
        <f t="shared" si="12"/>
        <v>255</v>
      </c>
      <c r="C279" s="2">
        <f t="shared" si="11"/>
        <v>0.5</v>
      </c>
      <c r="D279">
        <f t="array" ref="D279:E279">FEvaluate_Bezier($A$2:$A$8,$B$2:$B$8,5,6,7,7,$C279, "Chart 1")</f>
        <v>254.37500000000003</v>
      </c>
      <c r="E279">
        <v>131.56250000000003</v>
      </c>
    </row>
    <row r="280" spans="1:5" x14ac:dyDescent="0.25">
      <c r="A280">
        <f t="shared" si="12"/>
        <v>256</v>
      </c>
      <c r="C280" s="2">
        <f t="shared" si="11"/>
        <v>0.53333333333333333</v>
      </c>
      <c r="D280">
        <f t="array" ref="D280:E280">FEvaluate_Bezier($A$2:$A$8,$B$2:$B$8,5,6,7,7,$C280, "Chart 1")</f>
        <v>255.41925925925929</v>
      </c>
      <c r="E280">
        <v>124.41451851851853</v>
      </c>
    </row>
    <row r="281" spans="1:5" x14ac:dyDescent="0.25">
      <c r="A281">
        <f t="shared" si="12"/>
        <v>257</v>
      </c>
      <c r="C281" s="2">
        <f t="shared" si="11"/>
        <v>0.56666666666666665</v>
      </c>
      <c r="D281">
        <f t="array" ref="D281:E281">FEvaluate_Bezier($A$2:$A$8,$B$2:$B$8,5,6,7,7,$C281, "Chart 1")</f>
        <v>256.46796296296299</v>
      </c>
      <c r="E281">
        <v>117.19142592592596</v>
      </c>
    </row>
    <row r="282" spans="1:5" x14ac:dyDescent="0.25">
      <c r="A282">
        <f t="shared" si="12"/>
        <v>258</v>
      </c>
      <c r="C282" s="2">
        <f t="shared" si="11"/>
        <v>0.6</v>
      </c>
      <c r="D282">
        <f t="array" ref="D282:E282">FEvaluate_Bezier($A$2:$A$8,$B$2:$B$8,5,6,7,7,$C282, "Chart 1")</f>
        <v>257.52000000000004</v>
      </c>
      <c r="E282">
        <v>109.91200000000003</v>
      </c>
    </row>
    <row r="283" spans="1:5" x14ac:dyDescent="0.25">
      <c r="A283">
        <f t="shared" si="12"/>
        <v>259</v>
      </c>
      <c r="C283" s="2">
        <f t="shared" si="11"/>
        <v>0.6333333333333333</v>
      </c>
      <c r="D283">
        <f t="array" ref="D283:E283">FEvaluate_Bezier($A$2:$A$8,$B$2:$B$8,5,6,7,7,$C283, "Chart 1")</f>
        <v>258.57425925925929</v>
      </c>
      <c r="E283">
        <v>102.59501851851851</v>
      </c>
    </row>
    <row r="284" spans="1:5" x14ac:dyDescent="0.25">
      <c r="A284">
        <f t="shared" si="12"/>
        <v>260</v>
      </c>
      <c r="C284" s="2">
        <f t="shared" si="11"/>
        <v>0.66666666666666663</v>
      </c>
      <c r="D284">
        <f t="array" ref="D284:E284">FEvaluate_Bezier($A$2:$A$8,$B$2:$B$8,5,6,7,7,$C284, "Chart 1")</f>
        <v>259.62962962962962</v>
      </c>
      <c r="E284">
        <v>95.259259259259295</v>
      </c>
    </row>
    <row r="285" spans="1:5" x14ac:dyDescent="0.25">
      <c r="A285">
        <f t="shared" si="12"/>
        <v>261</v>
      </c>
      <c r="C285" s="2">
        <f t="shared" si="11"/>
        <v>0.7</v>
      </c>
      <c r="D285">
        <f t="array" ref="D285:E285">FEvaluate_Bezier($A$2:$A$8,$B$2:$B$8,5,6,7,7,$C285, "Chart 1")</f>
        <v>260.68500000000006</v>
      </c>
      <c r="E285">
        <v>87.923500000000033</v>
      </c>
    </row>
    <row r="286" spans="1:5" x14ac:dyDescent="0.25">
      <c r="A286">
        <f t="shared" si="12"/>
        <v>262</v>
      </c>
      <c r="C286" s="2">
        <f t="shared" si="11"/>
        <v>0.73333333333333328</v>
      </c>
      <c r="D286">
        <f t="array" ref="D286:E286">FEvaluate_Bezier($A$2:$A$8,$B$2:$B$8,5,6,7,7,$C286, "Chart 1")</f>
        <v>261.73925925925926</v>
      </c>
      <c r="E286">
        <v>80.606518518518541</v>
      </c>
    </row>
    <row r="287" spans="1:5" x14ac:dyDescent="0.25">
      <c r="A287">
        <f t="shared" si="12"/>
        <v>263</v>
      </c>
      <c r="C287" s="2">
        <f t="shared" si="11"/>
        <v>0.76666666666666672</v>
      </c>
      <c r="D287">
        <f t="array" ref="D287:E287">FEvaluate_Bezier($A$2:$A$8,$B$2:$B$8,5,6,7,7,$C287, "Chart 1")</f>
        <v>262.79129629629637</v>
      </c>
      <c r="E287">
        <v>73.327092592592592</v>
      </c>
    </row>
    <row r="288" spans="1:5" x14ac:dyDescent="0.25">
      <c r="A288">
        <f t="shared" si="12"/>
        <v>264</v>
      </c>
      <c r="C288" s="2">
        <f t="shared" si="11"/>
        <v>0.8</v>
      </c>
      <c r="D288">
        <f t="array" ref="D288:E288">FEvaluate_Bezier($A$2:$A$8,$B$2:$B$8,5,6,7,7,$C288, "Chart 1")</f>
        <v>263.84000000000003</v>
      </c>
      <c r="E288">
        <v>66.103999999999971</v>
      </c>
    </row>
    <row r="289" spans="1:5" x14ac:dyDescent="0.25">
      <c r="A289">
        <f t="shared" si="12"/>
        <v>265</v>
      </c>
      <c r="C289" s="2">
        <f t="shared" si="11"/>
        <v>0.83333333333333337</v>
      </c>
      <c r="D289">
        <f t="array" ref="D289:E289">FEvaluate_Bezier($A$2:$A$8,$B$2:$B$8,5,6,7,7,$C289, "Chart 1")</f>
        <v>264.88425925925935</v>
      </c>
      <c r="E289">
        <v>58.956018518518491</v>
      </c>
    </row>
    <row r="290" spans="1:5" x14ac:dyDescent="0.25">
      <c r="A290">
        <f t="shared" si="12"/>
        <v>266</v>
      </c>
      <c r="C290" s="2">
        <f t="shared" si="11"/>
        <v>0.8666666666666667</v>
      </c>
      <c r="D290">
        <f t="array" ref="D290:E290">FEvaluate_Bezier($A$2:$A$8,$B$2:$B$8,5,6,7,7,$C290, "Chart 1")</f>
        <v>265.92296296296303</v>
      </c>
      <c r="E290">
        <v>51.901925925925916</v>
      </c>
    </row>
    <row r="291" spans="1:5" x14ac:dyDescent="0.25">
      <c r="A291">
        <f t="shared" si="12"/>
        <v>267</v>
      </c>
      <c r="C291" s="2">
        <f t="shared" si="11"/>
        <v>0.9</v>
      </c>
      <c r="D291">
        <f t="array" ref="D291:E291">FEvaluate_Bezier($A$2:$A$8,$B$2:$B$8,5,6,7,7,$C291, "Chart 1")</f>
        <v>266.95499999999998</v>
      </c>
      <c r="E291">
        <v>44.960499999999982</v>
      </c>
    </row>
    <row r="292" spans="1:5" x14ac:dyDescent="0.25">
      <c r="A292">
        <f t="shared" si="12"/>
        <v>268</v>
      </c>
      <c r="C292" s="2">
        <f t="shared" si="11"/>
        <v>0.93333333333333335</v>
      </c>
      <c r="D292">
        <f t="array" ref="D292:E292">FEvaluate_Bezier($A$2:$A$8,$B$2:$B$8,5,6,7,7,$C292, "Chart 1")</f>
        <v>267.97925925925932</v>
      </c>
      <c r="E292">
        <v>38.150518518518481</v>
      </c>
    </row>
    <row r="293" spans="1:5" x14ac:dyDescent="0.25">
      <c r="A293">
        <f t="shared" si="12"/>
        <v>269</v>
      </c>
      <c r="C293" s="2">
        <f t="shared" si="11"/>
        <v>0.96666666666666667</v>
      </c>
      <c r="D293">
        <f t="array" ref="D293:E293">FEvaluate_Bezier($A$2:$A$8,$B$2:$B$8,5,6,7,7,$C293, "Chart 1")</f>
        <v>268.99462962962963</v>
      </c>
      <c r="E293">
        <v>31.490759259259292</v>
      </c>
    </row>
    <row r="294" spans="1:5" x14ac:dyDescent="0.25">
      <c r="A294" s="3">
        <f t="shared" si="12"/>
        <v>270</v>
      </c>
      <c r="B294" s="3">
        <f>$B$8</f>
        <v>25</v>
      </c>
      <c r="C294" s="4">
        <v>0</v>
      </c>
      <c r="D294" s="3">
        <f>$A$294</f>
        <v>270</v>
      </c>
      <c r="E294" s="3">
        <f>$B$8</f>
        <v>25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94"/>
  <sheetViews>
    <sheetView workbookViewId="0"/>
  </sheetViews>
  <sheetFormatPr defaultRowHeight="15" x14ac:dyDescent="0.25"/>
  <cols>
    <col min="1" max="1" width="5.42578125" bestFit="1" customWidth="1"/>
    <col min="2" max="2" width="12.5703125" bestFit="1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>
        <v>0</v>
      </c>
      <c r="B2">
        <v>25</v>
      </c>
    </row>
    <row r="3" spans="1:2" x14ac:dyDescent="0.25">
      <c r="A3">
        <v>90</v>
      </c>
      <c r="B3">
        <v>150</v>
      </c>
    </row>
    <row r="4" spans="1:2" x14ac:dyDescent="0.25">
      <c r="A4">
        <v>180</v>
      </c>
      <c r="B4">
        <v>180</v>
      </c>
    </row>
    <row r="5" spans="1:2" x14ac:dyDescent="0.25">
      <c r="A5">
        <v>200</v>
      </c>
      <c r="B5">
        <v>210</v>
      </c>
    </row>
    <row r="6" spans="1:2" x14ac:dyDescent="0.25">
      <c r="A6">
        <v>220</v>
      </c>
      <c r="B6">
        <v>210</v>
      </c>
    </row>
    <row r="7" spans="1:2" x14ac:dyDescent="0.25">
      <c r="A7">
        <v>240</v>
      </c>
      <c r="B7">
        <v>180</v>
      </c>
    </row>
    <row r="8" spans="1:2" x14ac:dyDescent="0.25">
      <c r="A8">
        <v>270</v>
      </c>
      <c r="B8">
        <v>25</v>
      </c>
    </row>
    <row r="19" spans="1:17" x14ac:dyDescent="0.25">
      <c r="G19" t="s">
        <v>5</v>
      </c>
      <c r="Q19" t="s">
        <v>7</v>
      </c>
    </row>
    <row r="23" spans="1:17" x14ac:dyDescent="0.25">
      <c r="A23" s="1" t="s">
        <v>0</v>
      </c>
      <c r="B23" s="1" t="s">
        <v>1</v>
      </c>
      <c r="C23" s="1" t="s">
        <v>2</v>
      </c>
      <c r="D23" s="1" t="s">
        <v>3</v>
      </c>
      <c r="E23" s="1" t="s">
        <v>4</v>
      </c>
    </row>
    <row r="24" spans="1:17" x14ac:dyDescent="0.25">
      <c r="A24" s="3">
        <v>0</v>
      </c>
      <c r="B24" s="3">
        <f>$B$2</f>
        <v>25</v>
      </c>
      <c r="C24" s="4">
        <v>0</v>
      </c>
      <c r="D24" s="3">
        <f>$A$24</f>
        <v>0</v>
      </c>
      <c r="E24" s="3">
        <f>$B$2</f>
        <v>25</v>
      </c>
    </row>
    <row r="25" spans="1:17" x14ac:dyDescent="0.25">
      <c r="A25">
        <f>A24+1</f>
        <v>1</v>
      </c>
      <c r="C25" s="2">
        <f>(ROW(C25)-ROW($C$24))/(ROW($C$114)-ROW($C$24))</f>
        <v>1.1111111111111112E-2</v>
      </c>
      <c r="D25" s="2">
        <f t="array" ref="D25:E25">FEvaluate_Bezier($A$2:$A$8,$B$2:$B$8,1,1,2,3,$C25, "Chart 1")</f>
        <v>1.0000000000000018</v>
      </c>
      <c r="E25" s="2">
        <v>26.394687928669363</v>
      </c>
    </row>
    <row r="26" spans="1:17" x14ac:dyDescent="0.25">
      <c r="A26">
        <f t="shared" ref="A26:A89" si="0">A25+1</f>
        <v>2</v>
      </c>
      <c r="C26" s="2">
        <f t="shared" ref="C26:C89" si="1">(ROW(C26)-ROW($C$24))/(ROW($C$114)-ROW($C$24))</f>
        <v>2.2222222222222223E-2</v>
      </c>
      <c r="D26" s="2">
        <f t="array" ref="D26:E26">FEvaluate_Bezier($A$2:$A$8,$B$2:$B$8,1,1,2,3,$C26, "Chart 1")</f>
        <v>1.9999999999999982</v>
      </c>
      <c r="E26" s="2">
        <v>27.800713305898533</v>
      </c>
    </row>
    <row r="27" spans="1:17" x14ac:dyDescent="0.25">
      <c r="A27">
        <f t="shared" si="0"/>
        <v>3</v>
      </c>
      <c r="C27" s="2">
        <f t="shared" si="1"/>
        <v>3.3333333333333333E-2</v>
      </c>
      <c r="D27" s="2">
        <f t="array" ref="D27:E27">FEvaluate_Bezier($A$2:$A$8,$B$2:$B$8,1,1,2,3,$C27, "Chart 1")</f>
        <v>3</v>
      </c>
      <c r="E27" s="2">
        <v>29.217685185185193</v>
      </c>
    </row>
    <row r="28" spans="1:17" x14ac:dyDescent="0.25">
      <c r="A28">
        <f t="shared" si="0"/>
        <v>4</v>
      </c>
      <c r="C28" s="2">
        <f t="shared" si="1"/>
        <v>4.4444444444444446E-2</v>
      </c>
      <c r="D28" s="2">
        <f t="array" ref="D28:E28">FEvaluate_Bezier($A$2:$A$8,$B$2:$B$8,1,1,2,3,$C28, "Chart 1")</f>
        <v>4.0000000000000018</v>
      </c>
      <c r="E28" s="2">
        <v>30.645212620027394</v>
      </c>
    </row>
    <row r="29" spans="1:17" x14ac:dyDescent="0.25">
      <c r="A29">
        <f t="shared" si="0"/>
        <v>5</v>
      </c>
      <c r="C29" s="2">
        <f t="shared" si="1"/>
        <v>5.5555555555555552E-2</v>
      </c>
      <c r="D29" s="2">
        <f t="array" ref="D29:E29">FEvaluate_Bezier($A$2:$A$8,$B$2:$B$8,1,1,2,3,$C29, "Chart 1")</f>
        <v>4.9999999999999956</v>
      </c>
      <c r="E29" s="2">
        <v>32.082904663923188</v>
      </c>
    </row>
    <row r="30" spans="1:17" x14ac:dyDescent="0.25">
      <c r="A30">
        <f t="shared" si="0"/>
        <v>6</v>
      </c>
      <c r="C30" s="2">
        <f t="shared" si="1"/>
        <v>6.6666666666666666E-2</v>
      </c>
      <c r="D30" s="2">
        <f t="array" ref="D30:E30">FEvaluate_Bezier($A$2:$A$8,$B$2:$B$8,1,1,2,3,$C30, "Chart 1")</f>
        <v>6</v>
      </c>
      <c r="E30" s="2">
        <v>33.530370370370349</v>
      </c>
    </row>
    <row r="31" spans="1:17" x14ac:dyDescent="0.25">
      <c r="A31">
        <f t="shared" si="0"/>
        <v>7</v>
      </c>
      <c r="C31" s="2">
        <f t="shared" si="1"/>
        <v>7.7777777777777779E-2</v>
      </c>
      <c r="D31" s="2">
        <f t="array" ref="D31:E31">FEvaluate_Bezier($A$2:$A$8,$B$2:$B$8,1,1,2,3,$C31, "Chart 1")</f>
        <v>7.0000000000000044</v>
      </c>
      <c r="E31" s="2">
        <v>34.987218792866898</v>
      </c>
    </row>
    <row r="32" spans="1:17" x14ac:dyDescent="0.25">
      <c r="A32">
        <f t="shared" si="0"/>
        <v>8</v>
      </c>
      <c r="C32" s="2">
        <f t="shared" si="1"/>
        <v>8.8888888888888892E-2</v>
      </c>
      <c r="D32" s="2">
        <f t="array" ref="D32:E32">FEvaluate_Bezier($A$2:$A$8,$B$2:$B$8,1,1,2,3,$C32, "Chart 1")</f>
        <v>7.9999999999999982</v>
      </c>
      <c r="E32" s="2">
        <v>36.453058984910861</v>
      </c>
    </row>
    <row r="33" spans="1:7" x14ac:dyDescent="0.25">
      <c r="A33">
        <f t="shared" si="0"/>
        <v>9</v>
      </c>
      <c r="C33" s="2">
        <f t="shared" si="1"/>
        <v>0.1</v>
      </c>
      <c r="D33" s="2">
        <f t="array" ref="D33:E33">FEvaluate_Bezier($A$2:$A$8,$B$2:$B$8,1,1,2,3,$C33, "Chart 1")</f>
        <v>9.0000000000000036</v>
      </c>
      <c r="E33" s="2">
        <v>37.927499999999974</v>
      </c>
    </row>
    <row r="34" spans="1:7" x14ac:dyDescent="0.25">
      <c r="A34">
        <f t="shared" si="0"/>
        <v>10</v>
      </c>
      <c r="C34" s="2">
        <f t="shared" si="1"/>
        <v>0.1111111111111111</v>
      </c>
      <c r="D34" s="2">
        <f t="array" ref="D34:E34">FEvaluate_Bezier($A$2:$A$8,$B$2:$B$8,1,1,2,3,$C34, "Chart 1")</f>
        <v>9.9999999999999911</v>
      </c>
      <c r="E34" s="2">
        <v>39.410150891632441</v>
      </c>
    </row>
    <row r="35" spans="1:7" x14ac:dyDescent="0.25">
      <c r="A35">
        <f t="shared" si="0"/>
        <v>11</v>
      </c>
      <c r="C35" s="2">
        <f t="shared" si="1"/>
        <v>0.12222222222222222</v>
      </c>
      <c r="D35" s="2">
        <f t="array" ref="D35:E35">FEvaluate_Bezier($A$2:$A$8,$B$2:$B$8,1,1,2,3,$C35, "Chart 1")</f>
        <v>10.999999999999996</v>
      </c>
      <c r="E35" s="2">
        <v>40.900620713305912</v>
      </c>
    </row>
    <row r="36" spans="1:7" x14ac:dyDescent="0.25">
      <c r="A36">
        <f t="shared" si="0"/>
        <v>12</v>
      </c>
      <c r="C36" s="2">
        <f t="shared" si="1"/>
        <v>0.13333333333333333</v>
      </c>
      <c r="D36" s="2">
        <f t="array" ref="D36:E36">FEvaluate_Bezier($A$2:$A$8,$B$2:$B$8,1,1,2,3,$C36, "Chart 1")</f>
        <v>12</v>
      </c>
      <c r="E36" s="2">
        <v>42.3985185185185</v>
      </c>
    </row>
    <row r="37" spans="1:7" x14ac:dyDescent="0.25">
      <c r="A37">
        <f t="shared" si="0"/>
        <v>13</v>
      </c>
      <c r="C37" s="2">
        <f t="shared" si="1"/>
        <v>0.14444444444444443</v>
      </c>
      <c r="D37" s="2">
        <f t="array" ref="D37:E37">FEvaluate_Bezier($A$2:$A$8,$B$2:$B$8,1,1,2,3,$C37, "Chart 1")</f>
        <v>13.000000000000005</v>
      </c>
      <c r="E37" s="2">
        <v>43.903453360768118</v>
      </c>
    </row>
    <row r="38" spans="1:7" x14ac:dyDescent="0.25">
      <c r="A38">
        <f t="shared" si="0"/>
        <v>14</v>
      </c>
      <c r="C38" s="2">
        <f t="shared" si="1"/>
        <v>0.15555555555555556</v>
      </c>
      <c r="D38" s="2">
        <f t="array" ref="D38:E38">FEvaluate_Bezier($A$2:$A$8,$B$2:$B$8,1,1,2,3,$C38, "Chart 1")</f>
        <v>13.999999999999998</v>
      </c>
      <c r="E38" s="2">
        <v>45.415034293552814</v>
      </c>
    </row>
    <row r="39" spans="1:7" x14ac:dyDescent="0.25">
      <c r="A39">
        <f t="shared" si="0"/>
        <v>15</v>
      </c>
      <c r="C39" s="2">
        <f t="shared" si="1"/>
        <v>0.16666666666666666</v>
      </c>
      <c r="D39" s="2">
        <f t="array" ref="D39:E39">FEvaluate_Bezier($A$2:$A$8,$B$2:$B$8,1,1,2,3,$C39, "Chart 1")</f>
        <v>14.999999999999998</v>
      </c>
      <c r="E39" s="2">
        <v>46.932870370370303</v>
      </c>
    </row>
    <row r="40" spans="1:7" x14ac:dyDescent="0.25">
      <c r="A40">
        <f t="shared" si="0"/>
        <v>16</v>
      </c>
      <c r="C40" s="2">
        <f t="shared" si="1"/>
        <v>0.17777777777777778</v>
      </c>
      <c r="D40" s="2">
        <f t="array" ref="D40:E40">FEvaluate_Bezier($A$2:$A$8,$B$2:$B$8,1,1,2,3,$C40, "Chart 1")</f>
        <v>15.999999999999996</v>
      </c>
      <c r="E40" s="2">
        <v>48.456570644718781</v>
      </c>
    </row>
    <row r="41" spans="1:7" x14ac:dyDescent="0.25">
      <c r="A41">
        <f t="shared" si="0"/>
        <v>17</v>
      </c>
      <c r="C41" s="2">
        <f t="shared" si="1"/>
        <v>0.18888888888888888</v>
      </c>
      <c r="D41" s="2">
        <f t="array" ref="D41:E41">FEvaluate_Bezier($A$2:$A$8,$B$2:$B$8,1,1,2,3,$C41, "Chart 1")</f>
        <v>16.999999999999996</v>
      </c>
      <c r="E41" s="2">
        <v>49.985744170096019</v>
      </c>
      <c r="G41" t="s">
        <v>6</v>
      </c>
    </row>
    <row r="42" spans="1:7" x14ac:dyDescent="0.25">
      <c r="A42">
        <f t="shared" si="0"/>
        <v>18</v>
      </c>
      <c r="C42" s="2">
        <f t="shared" si="1"/>
        <v>0.2</v>
      </c>
      <c r="D42" s="2">
        <f t="array" ref="D42:E42">FEvaluate_Bezier($A$2:$A$8,$B$2:$B$8,1,1,2,3,$C42, "Chart 1")</f>
        <v>18.000000000000007</v>
      </c>
      <c r="E42" s="2">
        <v>51.519999999999925</v>
      </c>
    </row>
    <row r="43" spans="1:7" x14ac:dyDescent="0.25">
      <c r="A43">
        <f t="shared" si="0"/>
        <v>19</v>
      </c>
      <c r="C43" s="2">
        <f t="shared" si="1"/>
        <v>0.21111111111111111</v>
      </c>
      <c r="D43" s="2">
        <f t="array" ref="D43:E43">FEvaluate_Bezier($A$2:$A$8,$B$2:$B$8,1,1,2,3,$C43, "Chart 1")</f>
        <v>18.999999999999993</v>
      </c>
      <c r="E43" s="2">
        <v>53.058947187928695</v>
      </c>
    </row>
    <row r="44" spans="1:7" x14ac:dyDescent="0.25">
      <c r="A44">
        <f t="shared" si="0"/>
        <v>20</v>
      </c>
      <c r="C44" s="2">
        <f t="shared" si="1"/>
        <v>0.22222222222222221</v>
      </c>
      <c r="D44" s="2">
        <f t="array" ref="D44:E44">FEvaluate_Bezier($A$2:$A$8,$B$2:$B$8,1,1,2,3,$C44, "Chart 1")</f>
        <v>20</v>
      </c>
      <c r="E44" s="2">
        <v>54.602194787379958</v>
      </c>
    </row>
    <row r="45" spans="1:7" x14ac:dyDescent="0.25">
      <c r="A45">
        <f t="shared" si="0"/>
        <v>21</v>
      </c>
      <c r="C45" s="2">
        <f t="shared" si="1"/>
        <v>0.23333333333333334</v>
      </c>
      <c r="D45" s="2">
        <f t="array" ref="D45:E45">FEvaluate_Bezier($A$2:$A$8,$B$2:$B$8,1,1,2,3,$C45, "Chart 1")</f>
        <v>20.999999999999993</v>
      </c>
      <c r="E45" s="2">
        <v>56.149351851851911</v>
      </c>
    </row>
    <row r="46" spans="1:7" x14ac:dyDescent="0.25">
      <c r="A46">
        <f t="shared" si="0"/>
        <v>22</v>
      </c>
      <c r="C46" s="2">
        <f t="shared" si="1"/>
        <v>0.24444444444444444</v>
      </c>
      <c r="D46" s="2">
        <f t="array" ref="D46:E46">FEvaluate_Bezier($A$2:$A$8,$B$2:$B$8,1,1,2,3,$C46, "Chart 1")</f>
        <v>21.999999999999993</v>
      </c>
      <c r="E46" s="2">
        <v>57.700027434842291</v>
      </c>
    </row>
    <row r="47" spans="1:7" x14ac:dyDescent="0.25">
      <c r="A47">
        <f t="shared" si="0"/>
        <v>23</v>
      </c>
      <c r="C47" s="2">
        <f t="shared" si="1"/>
        <v>0.25555555555555554</v>
      </c>
      <c r="D47" s="2">
        <f t="array" ref="D47:E47">FEvaluate_Bezier($A$2:$A$8,$B$2:$B$8,1,1,2,3,$C47, "Chart 1")</f>
        <v>23</v>
      </c>
      <c r="E47" s="2">
        <v>59.253830589849095</v>
      </c>
    </row>
    <row r="48" spans="1:7" x14ac:dyDescent="0.25">
      <c r="A48">
        <f t="shared" si="0"/>
        <v>24</v>
      </c>
      <c r="C48" s="2">
        <f t="shared" si="1"/>
        <v>0.26666666666666666</v>
      </c>
      <c r="D48" s="2">
        <f t="array" ref="D48:E48">FEvaluate_Bezier($A$2:$A$8,$B$2:$B$8,1,1,2,3,$C48, "Chart 1")</f>
        <v>24</v>
      </c>
      <c r="E48" s="2">
        <v>60.81037037037035</v>
      </c>
    </row>
    <row r="49" spans="1:5" x14ac:dyDescent="0.25">
      <c r="A49">
        <f t="shared" si="0"/>
        <v>25</v>
      </c>
      <c r="C49" s="2">
        <f t="shared" si="1"/>
        <v>0.27777777777777779</v>
      </c>
      <c r="D49" s="2">
        <f t="array" ref="D49:E49">FEvaluate_Bezier($A$2:$A$8,$B$2:$B$8,1,1,2,3,$C49, "Chart 1")</f>
        <v>25</v>
      </c>
      <c r="E49" s="2">
        <v>62.369255829903963</v>
      </c>
    </row>
    <row r="50" spans="1:5" x14ac:dyDescent="0.25">
      <c r="A50">
        <f t="shared" si="0"/>
        <v>26</v>
      </c>
      <c r="C50" s="2">
        <f t="shared" si="1"/>
        <v>0.28888888888888886</v>
      </c>
      <c r="D50" s="2">
        <f t="array" ref="D50:E50">FEvaluate_Bezier($A$2:$A$8,$B$2:$B$8,1,1,2,3,$C50, "Chart 1")</f>
        <v>25.999999999999993</v>
      </c>
      <c r="E50" s="2">
        <v>63.930096021947882</v>
      </c>
    </row>
    <row r="51" spans="1:5" x14ac:dyDescent="0.25">
      <c r="A51">
        <f t="shared" si="0"/>
        <v>27</v>
      </c>
      <c r="C51" s="2">
        <f t="shared" si="1"/>
        <v>0.3</v>
      </c>
      <c r="D51" s="2">
        <f t="array" ref="D51:E51">FEvaluate_Bezier($A$2:$A$8,$B$2:$B$8,1,1,2,3,$C51, "Chart 1")</f>
        <v>26.999999999999986</v>
      </c>
      <c r="E51" s="2">
        <v>65.492500000000064</v>
      </c>
    </row>
    <row r="52" spans="1:5" x14ac:dyDescent="0.25">
      <c r="A52">
        <f t="shared" si="0"/>
        <v>28</v>
      </c>
      <c r="C52" s="2">
        <f t="shared" si="1"/>
        <v>0.31111111111111112</v>
      </c>
      <c r="D52" s="2">
        <f t="array" ref="D52:E52">FEvaluate_Bezier($A$2:$A$8,$B$2:$B$8,1,1,2,3,$C52, "Chart 1")</f>
        <v>27.999999999999996</v>
      </c>
      <c r="E52" s="2">
        <v>67.056076817558292</v>
      </c>
    </row>
    <row r="53" spans="1:5" x14ac:dyDescent="0.25">
      <c r="A53">
        <f t="shared" si="0"/>
        <v>29</v>
      </c>
      <c r="C53" s="2">
        <f t="shared" si="1"/>
        <v>0.32222222222222224</v>
      </c>
      <c r="D53" s="2">
        <f t="array" ref="D53:E53">FEvaluate_Bezier($A$2:$A$8,$B$2:$B$8,1,1,2,3,$C53, "Chart 1")</f>
        <v>29.000000000000004</v>
      </c>
      <c r="E53" s="2">
        <v>68.620435528120694</v>
      </c>
    </row>
    <row r="54" spans="1:5" x14ac:dyDescent="0.25">
      <c r="A54">
        <f t="shared" si="0"/>
        <v>30</v>
      </c>
      <c r="C54" s="2">
        <f t="shared" si="1"/>
        <v>0.33333333333333331</v>
      </c>
      <c r="D54" s="2">
        <f t="array" ref="D54:E54">FEvaluate_Bezier($A$2:$A$8,$B$2:$B$8,1,1,2,3,$C54, "Chart 1")</f>
        <v>30</v>
      </c>
      <c r="E54" s="2">
        <v>70.185185185185162</v>
      </c>
    </row>
    <row r="55" spans="1:5" x14ac:dyDescent="0.25">
      <c r="A55">
        <f t="shared" si="0"/>
        <v>31</v>
      </c>
      <c r="C55" s="2">
        <f t="shared" si="1"/>
        <v>0.34444444444444444</v>
      </c>
      <c r="D55" s="2">
        <f t="array" ref="D55:E55">FEvaluate_Bezier($A$2:$A$8,$B$2:$B$8,1,1,2,3,$C55, "Chart 1")</f>
        <v>30.999999999999996</v>
      </c>
      <c r="E55" s="2">
        <v>71.749934842249672</v>
      </c>
    </row>
    <row r="56" spans="1:5" x14ac:dyDescent="0.25">
      <c r="A56">
        <f t="shared" si="0"/>
        <v>32</v>
      </c>
      <c r="C56" s="2">
        <f t="shared" si="1"/>
        <v>0.35555555555555557</v>
      </c>
      <c r="D56" s="2">
        <f t="array" ref="D56:E56">FEvaluate_Bezier($A$2:$A$8,$B$2:$B$8,1,1,2,3,$C56, "Chart 1")</f>
        <v>31.999999999999993</v>
      </c>
      <c r="E56" s="2">
        <v>73.314293552812131</v>
      </c>
    </row>
    <row r="57" spans="1:5" x14ac:dyDescent="0.25">
      <c r="A57">
        <f t="shared" si="0"/>
        <v>33</v>
      </c>
      <c r="C57" s="2">
        <f t="shared" si="1"/>
        <v>0.36666666666666664</v>
      </c>
      <c r="D57" s="2">
        <f t="array" ref="D57:E57">FEvaluate_Bezier($A$2:$A$8,$B$2:$B$8,1,1,2,3,$C57, "Chart 1")</f>
        <v>32.999999999999986</v>
      </c>
      <c r="E57" s="2">
        <v>74.877870370370417</v>
      </c>
    </row>
    <row r="58" spans="1:5" x14ac:dyDescent="0.25">
      <c r="A58">
        <f t="shared" si="0"/>
        <v>34</v>
      </c>
      <c r="C58" s="2">
        <f t="shared" si="1"/>
        <v>0.37777777777777777</v>
      </c>
      <c r="D58" s="2">
        <f t="array" ref="D58:E58">FEvaluate_Bezier($A$2:$A$8,$B$2:$B$8,1,1,2,3,$C58, "Chart 1")</f>
        <v>33.999999999999993</v>
      </c>
      <c r="E58" s="2">
        <v>76.440274348422491</v>
      </c>
    </row>
    <row r="59" spans="1:5" x14ac:dyDescent="0.25">
      <c r="A59">
        <f t="shared" si="0"/>
        <v>35</v>
      </c>
      <c r="C59" s="2">
        <f t="shared" si="1"/>
        <v>0.3888888888888889</v>
      </c>
      <c r="D59" s="2">
        <f t="array" ref="D59:E59">FEvaluate_Bezier($A$2:$A$8,$B$2:$B$8,1,1,2,3,$C59, "Chart 1")</f>
        <v>35</v>
      </c>
      <c r="E59" s="2">
        <v>78.001114540466347</v>
      </c>
    </row>
    <row r="60" spans="1:5" x14ac:dyDescent="0.25">
      <c r="A60">
        <f t="shared" si="0"/>
        <v>36</v>
      </c>
      <c r="C60" s="2">
        <f t="shared" si="1"/>
        <v>0.4</v>
      </c>
      <c r="D60" s="2">
        <f t="array" ref="D60:E60">FEvaluate_Bezier($A$2:$A$8,$B$2:$B$8,1,1,2,3,$C60, "Chart 1")</f>
        <v>36</v>
      </c>
      <c r="E60" s="2">
        <v>79.559999999999988</v>
      </c>
    </row>
    <row r="61" spans="1:5" x14ac:dyDescent="0.25">
      <c r="A61">
        <f t="shared" si="0"/>
        <v>37</v>
      </c>
      <c r="C61" s="2">
        <f t="shared" si="1"/>
        <v>0.41111111111111109</v>
      </c>
      <c r="D61" s="2">
        <f t="array" ref="D61:E61">FEvaluate_Bezier($A$2:$A$8,$B$2:$B$8,1,1,2,3,$C61, "Chart 1")</f>
        <v>36.999999999999986</v>
      </c>
      <c r="E61" s="2">
        <v>81.116539780521251</v>
      </c>
    </row>
    <row r="62" spans="1:5" x14ac:dyDescent="0.25">
      <c r="A62">
        <f t="shared" si="0"/>
        <v>38</v>
      </c>
      <c r="C62" s="2">
        <f t="shared" si="1"/>
        <v>0.42222222222222222</v>
      </c>
      <c r="D62" s="2">
        <f t="array" ref="D62:E62">FEvaluate_Bezier($A$2:$A$8,$B$2:$B$8,1,1,2,3,$C62, "Chart 1")</f>
        <v>37.999999999999986</v>
      </c>
      <c r="E62" s="2">
        <v>82.670342935528168</v>
      </c>
    </row>
    <row r="63" spans="1:5" x14ac:dyDescent="0.25">
      <c r="A63">
        <f t="shared" si="0"/>
        <v>39</v>
      </c>
      <c r="C63" s="2">
        <f t="shared" si="1"/>
        <v>0.43333333333333335</v>
      </c>
      <c r="D63" s="2">
        <f t="array" ref="D63:E63">FEvaluate_Bezier($A$2:$A$8,$B$2:$B$8,1,1,2,3,$C63, "Chart 1")</f>
        <v>39</v>
      </c>
      <c r="E63" s="2">
        <v>84.221018518518548</v>
      </c>
    </row>
    <row r="64" spans="1:5" x14ac:dyDescent="0.25">
      <c r="A64">
        <f t="shared" si="0"/>
        <v>40</v>
      </c>
      <c r="C64" s="2">
        <f t="shared" si="1"/>
        <v>0.44444444444444442</v>
      </c>
      <c r="D64" s="2">
        <f t="array" ref="D64:E64">FEvaluate_Bezier($A$2:$A$8,$B$2:$B$8,1,1,2,3,$C64, "Chart 1")</f>
        <v>39.999999999999986</v>
      </c>
      <c r="E64" s="2">
        <v>85.768175582990409</v>
      </c>
    </row>
    <row r="65" spans="1:5" x14ac:dyDescent="0.25">
      <c r="A65">
        <f t="shared" si="0"/>
        <v>41</v>
      </c>
      <c r="C65" s="2">
        <f t="shared" si="1"/>
        <v>0.45555555555555555</v>
      </c>
      <c r="D65" s="2">
        <f t="array" ref="D65:E65">FEvaluate_Bezier($A$2:$A$8,$B$2:$B$8,1,1,2,3,$C65, "Chart 1")</f>
        <v>41</v>
      </c>
      <c r="E65" s="2">
        <v>87.311423182441672</v>
      </c>
    </row>
    <row r="66" spans="1:5" x14ac:dyDescent="0.25">
      <c r="A66">
        <f t="shared" si="0"/>
        <v>42</v>
      </c>
      <c r="C66" s="2">
        <f t="shared" si="1"/>
        <v>0.46666666666666667</v>
      </c>
      <c r="D66" s="2">
        <f t="array" ref="D66:E66">FEvaluate_Bezier($A$2:$A$8,$B$2:$B$8,1,1,2,3,$C66, "Chart 1")</f>
        <v>41.999999999999993</v>
      </c>
      <c r="E66" s="2">
        <v>88.850370370370356</v>
      </c>
    </row>
    <row r="67" spans="1:5" x14ac:dyDescent="0.25">
      <c r="A67">
        <f t="shared" si="0"/>
        <v>43</v>
      </c>
      <c r="C67" s="2">
        <f t="shared" si="1"/>
        <v>0.4777777777777778</v>
      </c>
      <c r="D67" s="2">
        <f t="array" ref="D67:E67">FEvaluate_Bezier($A$2:$A$8,$B$2:$B$8,1,1,2,3,$C67, "Chart 1")</f>
        <v>42.999999999999986</v>
      </c>
      <c r="E67" s="2">
        <v>90.384626200274383</v>
      </c>
    </row>
    <row r="68" spans="1:5" x14ac:dyDescent="0.25">
      <c r="A68">
        <f t="shared" si="0"/>
        <v>44</v>
      </c>
      <c r="C68" s="2">
        <f t="shared" si="1"/>
        <v>0.48888888888888887</v>
      </c>
      <c r="D68" s="2">
        <f t="array" ref="D68:E68">FEvaluate_Bezier($A$2:$A$8,$B$2:$B$8,1,1,2,3,$C68, "Chart 1")</f>
        <v>43.999999999999986</v>
      </c>
      <c r="E68" s="2">
        <v>91.913799725651614</v>
      </c>
    </row>
    <row r="69" spans="1:5" x14ac:dyDescent="0.25">
      <c r="A69">
        <f t="shared" si="0"/>
        <v>45</v>
      </c>
      <c r="C69" s="2">
        <f t="shared" si="1"/>
        <v>0.5</v>
      </c>
      <c r="D69" s="2">
        <f t="array" ref="D69:E69">FEvaluate_Bezier($A$2:$A$8,$B$2:$B$8,1,1,2,3,$C69, "Chart 1")</f>
        <v>44.999999999999993</v>
      </c>
      <c r="E69" s="2">
        <v>93.4375</v>
      </c>
    </row>
    <row r="70" spans="1:5" x14ac:dyDescent="0.25">
      <c r="A70">
        <f t="shared" si="0"/>
        <v>46</v>
      </c>
      <c r="C70" s="2">
        <f t="shared" si="1"/>
        <v>0.51111111111111107</v>
      </c>
      <c r="D70" s="2">
        <f t="array" ref="D70:E70">FEvaluate_Bezier($A$2:$A$8,$B$2:$B$8,1,1,2,3,$C70, "Chart 1")</f>
        <v>46</v>
      </c>
      <c r="E70" s="2">
        <v>94.955336076817559</v>
      </c>
    </row>
    <row r="71" spans="1:5" x14ac:dyDescent="0.25">
      <c r="A71">
        <f t="shared" si="0"/>
        <v>47</v>
      </c>
      <c r="C71" s="2">
        <f t="shared" si="1"/>
        <v>0.52222222222222225</v>
      </c>
      <c r="D71" s="2">
        <f t="array" ref="D71:E71">FEvaluate_Bezier($A$2:$A$8,$B$2:$B$8,1,1,2,3,$C71, "Chart 1")</f>
        <v>46.999999999999993</v>
      </c>
      <c r="E71" s="2">
        <v>96.466917009602227</v>
      </c>
    </row>
    <row r="72" spans="1:5" x14ac:dyDescent="0.25">
      <c r="A72">
        <f t="shared" si="0"/>
        <v>48</v>
      </c>
      <c r="C72" s="2">
        <f t="shared" si="1"/>
        <v>0.53333333333333333</v>
      </c>
      <c r="D72" s="2">
        <f t="array" ref="D72:E72">FEvaluate_Bezier($A$2:$A$8,$B$2:$B$8,1,1,2,3,$C72, "Chart 1")</f>
        <v>47.999999999999993</v>
      </c>
      <c r="E72" s="2">
        <v>97.971851851851866</v>
      </c>
    </row>
    <row r="73" spans="1:5" x14ac:dyDescent="0.25">
      <c r="A73">
        <f t="shared" si="0"/>
        <v>49</v>
      </c>
      <c r="C73" s="2">
        <f t="shared" si="1"/>
        <v>0.5444444444444444</v>
      </c>
      <c r="D73" s="2">
        <f t="array" ref="D73:E73">FEvaluate_Bezier($A$2:$A$8,$B$2:$B$8,1,1,2,3,$C73, "Chart 1")</f>
        <v>48.999999999999993</v>
      </c>
      <c r="E73" s="2">
        <v>99.469749657064455</v>
      </c>
    </row>
    <row r="74" spans="1:5" x14ac:dyDescent="0.25">
      <c r="A74">
        <f t="shared" si="0"/>
        <v>50</v>
      </c>
      <c r="C74" s="2">
        <f t="shared" si="1"/>
        <v>0.55555555555555558</v>
      </c>
      <c r="D74" s="2">
        <f t="array" ref="D74:E74">FEvaluate_Bezier($A$2:$A$8,$B$2:$B$8,1,1,2,3,$C74, "Chart 1")</f>
        <v>50</v>
      </c>
      <c r="E74" s="2">
        <v>100.96021947873801</v>
      </c>
    </row>
    <row r="75" spans="1:5" x14ac:dyDescent="0.25">
      <c r="A75">
        <f t="shared" si="0"/>
        <v>51</v>
      </c>
      <c r="C75" s="2">
        <f t="shared" si="1"/>
        <v>0.56666666666666665</v>
      </c>
      <c r="D75" s="2">
        <f t="array" ref="D75:E75">FEvaluate_Bezier($A$2:$A$8,$B$2:$B$8,1,1,2,3,$C75, "Chart 1")</f>
        <v>50.999999999999986</v>
      </c>
      <c r="E75" s="2">
        <v>102.44287037037039</v>
      </c>
    </row>
    <row r="76" spans="1:5" x14ac:dyDescent="0.25">
      <c r="A76">
        <f t="shared" si="0"/>
        <v>52</v>
      </c>
      <c r="C76" s="2">
        <f t="shared" si="1"/>
        <v>0.57777777777777772</v>
      </c>
      <c r="D76" s="2">
        <f t="array" ref="D76:E76">FEvaluate_Bezier($A$2:$A$8,$B$2:$B$8,1,1,2,3,$C76, "Chart 1")</f>
        <v>51.999999999999986</v>
      </c>
      <c r="E76" s="2">
        <v>103.91731138545954</v>
      </c>
    </row>
    <row r="77" spans="1:5" x14ac:dyDescent="0.25">
      <c r="A77">
        <f t="shared" si="0"/>
        <v>53</v>
      </c>
      <c r="C77" s="2">
        <f t="shared" si="1"/>
        <v>0.58888888888888891</v>
      </c>
      <c r="D77" s="2">
        <f t="array" ref="D77:E77">FEvaluate_Bezier($A$2:$A$8,$B$2:$B$8,1,1,2,3,$C77, "Chart 1")</f>
        <v>53</v>
      </c>
      <c r="E77" s="2">
        <v>105.38315157750344</v>
      </c>
    </row>
    <row r="78" spans="1:5" x14ac:dyDescent="0.25">
      <c r="A78">
        <f t="shared" si="0"/>
        <v>54</v>
      </c>
      <c r="C78" s="2">
        <f t="shared" si="1"/>
        <v>0.6</v>
      </c>
      <c r="D78" s="2">
        <f t="array" ref="D78:E78">FEvaluate_Bezier($A$2:$A$8,$B$2:$B$8,1,1,2,3,$C78, "Chart 1")</f>
        <v>53.999999999999979</v>
      </c>
      <c r="E78" s="2">
        <v>106.84000000000002</v>
      </c>
    </row>
    <row r="79" spans="1:5" x14ac:dyDescent="0.25">
      <c r="A79">
        <f t="shared" si="0"/>
        <v>55</v>
      </c>
      <c r="C79" s="2">
        <f t="shared" si="1"/>
        <v>0.61111111111111116</v>
      </c>
      <c r="D79" s="2">
        <f t="array" ref="D79:E79">FEvaluate_Bezier($A$2:$A$8,$B$2:$B$8,1,1,2,3,$C79, "Chart 1")</f>
        <v>54.999999999999993</v>
      </c>
      <c r="E79" s="2">
        <v>108.28746570644721</v>
      </c>
    </row>
    <row r="80" spans="1:5" x14ac:dyDescent="0.25">
      <c r="A80">
        <f t="shared" si="0"/>
        <v>56</v>
      </c>
      <c r="C80" s="2">
        <f t="shared" si="1"/>
        <v>0.62222222222222223</v>
      </c>
      <c r="D80" s="2">
        <f t="array" ref="D80:E80">FEvaluate_Bezier($A$2:$A$8,$B$2:$B$8,1,1,2,3,$C80, "Chart 1")</f>
        <v>55.999999999999993</v>
      </c>
      <c r="E80" s="2">
        <v>109.72515775034294</v>
      </c>
    </row>
    <row r="81" spans="1:5" x14ac:dyDescent="0.25">
      <c r="A81">
        <f t="shared" si="0"/>
        <v>57</v>
      </c>
      <c r="C81" s="2">
        <f t="shared" si="1"/>
        <v>0.6333333333333333</v>
      </c>
      <c r="D81" s="2">
        <f t="array" ref="D81:E81">FEvaluate_Bezier($A$2:$A$8,$B$2:$B$8,1,1,2,3,$C81, "Chart 1")</f>
        <v>56.999999999999993</v>
      </c>
      <c r="E81" s="2">
        <v>111.15268518518518</v>
      </c>
    </row>
    <row r="82" spans="1:5" x14ac:dyDescent="0.25">
      <c r="A82">
        <f t="shared" si="0"/>
        <v>58</v>
      </c>
      <c r="C82" s="2">
        <f t="shared" si="1"/>
        <v>0.64444444444444449</v>
      </c>
      <c r="D82" s="2">
        <f t="array" ref="D82:E82">FEvaluate_Bezier($A$2:$A$8,$B$2:$B$8,1,1,2,3,$C82, "Chart 1")</f>
        <v>57.999999999999993</v>
      </c>
      <c r="E82" s="2">
        <v>112.56965706447188</v>
      </c>
    </row>
    <row r="83" spans="1:5" x14ac:dyDescent="0.25">
      <c r="A83">
        <f t="shared" si="0"/>
        <v>59</v>
      </c>
      <c r="C83" s="2">
        <f t="shared" si="1"/>
        <v>0.65555555555555556</v>
      </c>
      <c r="D83" s="2">
        <f t="array" ref="D83:E83">FEvaluate_Bezier($A$2:$A$8,$B$2:$B$8,1,1,2,3,$C83, "Chart 1")</f>
        <v>58.999999999999986</v>
      </c>
      <c r="E83" s="2">
        <v>113.97568244170095</v>
      </c>
    </row>
    <row r="84" spans="1:5" x14ac:dyDescent="0.25">
      <c r="A84">
        <f t="shared" si="0"/>
        <v>60</v>
      </c>
      <c r="C84" s="2">
        <f t="shared" si="1"/>
        <v>0.66666666666666663</v>
      </c>
      <c r="D84" s="2">
        <f t="array" ref="D84:E84">FEvaluate_Bezier($A$2:$A$8,$B$2:$B$8,1,1,2,3,$C84, "Chart 1")</f>
        <v>59.999999999999979</v>
      </c>
      <c r="E84" s="2">
        <v>115.37037037037037</v>
      </c>
    </row>
    <row r="85" spans="1:5" x14ac:dyDescent="0.25">
      <c r="A85">
        <f t="shared" si="0"/>
        <v>61</v>
      </c>
      <c r="C85" s="2">
        <f t="shared" si="1"/>
        <v>0.67777777777777781</v>
      </c>
      <c r="D85" s="2">
        <f t="array" ref="D85:E85">FEvaluate_Bezier($A$2:$A$8,$B$2:$B$8,1,1,2,3,$C85, "Chart 1")</f>
        <v>60.999999999999993</v>
      </c>
      <c r="E85" s="2">
        <v>116.75332990397807</v>
      </c>
    </row>
    <row r="86" spans="1:5" x14ac:dyDescent="0.25">
      <c r="A86">
        <f t="shared" si="0"/>
        <v>62</v>
      </c>
      <c r="C86" s="2">
        <f t="shared" si="1"/>
        <v>0.68888888888888888</v>
      </c>
      <c r="D86" s="2">
        <f t="array" ref="D86:E86">FEvaluate_Bezier($A$2:$A$8,$B$2:$B$8,1,1,2,3,$C86, "Chart 1")</f>
        <v>61.999999999999993</v>
      </c>
      <c r="E86" s="2">
        <v>118.12417009602194</v>
      </c>
    </row>
    <row r="87" spans="1:5" x14ac:dyDescent="0.25">
      <c r="A87">
        <f t="shared" si="0"/>
        <v>63</v>
      </c>
      <c r="C87" s="2">
        <f t="shared" si="1"/>
        <v>0.7</v>
      </c>
      <c r="D87" s="2">
        <f t="array" ref="D87:E87">FEvaluate_Bezier($A$2:$A$8,$B$2:$B$8,1,1,2,3,$C87, "Chart 1")</f>
        <v>62.999999999999986</v>
      </c>
      <c r="E87" s="2">
        <v>119.48249999999999</v>
      </c>
    </row>
    <row r="88" spans="1:5" x14ac:dyDescent="0.25">
      <c r="A88">
        <f t="shared" si="0"/>
        <v>64</v>
      </c>
      <c r="C88" s="2">
        <f t="shared" si="1"/>
        <v>0.71111111111111114</v>
      </c>
      <c r="D88" s="2">
        <f t="array" ref="D88:E88">FEvaluate_Bezier($A$2:$A$8,$B$2:$B$8,1,1,2,3,$C88, "Chart 1")</f>
        <v>63.999999999999993</v>
      </c>
      <c r="E88" s="2">
        <v>120.82792866941017</v>
      </c>
    </row>
    <row r="89" spans="1:5" x14ac:dyDescent="0.25">
      <c r="A89">
        <f t="shared" si="0"/>
        <v>65</v>
      </c>
      <c r="C89" s="2">
        <f t="shared" si="1"/>
        <v>0.72222222222222221</v>
      </c>
      <c r="D89" s="2">
        <f t="array" ref="D89:E89">FEvaluate_Bezier($A$2:$A$8,$B$2:$B$8,1,1,2,3,$C89, "Chart 1")</f>
        <v>64.999999999999986</v>
      </c>
      <c r="E89" s="2">
        <v>122.16006515775032</v>
      </c>
    </row>
    <row r="90" spans="1:5" x14ac:dyDescent="0.25">
      <c r="A90">
        <f t="shared" ref="A90:A153" si="2">A89+1</f>
        <v>66</v>
      </c>
      <c r="C90" s="2">
        <f t="shared" ref="C90:C113" si="3">(ROW(C90)-ROW($C$24))/(ROW($C$114)-ROW($C$24))</f>
        <v>0.73333333333333328</v>
      </c>
      <c r="D90" s="2">
        <f t="array" ref="D90:E90">FEvaluate_Bezier($A$2:$A$8,$B$2:$B$8,1,1,2,3,$C90, "Chart 1")</f>
        <v>65.999999999999986</v>
      </c>
      <c r="E90" s="2">
        <v>123.47851851851851</v>
      </c>
    </row>
    <row r="91" spans="1:5" x14ac:dyDescent="0.25">
      <c r="A91">
        <f t="shared" si="2"/>
        <v>67</v>
      </c>
      <c r="C91" s="2">
        <f t="shared" si="3"/>
        <v>0.74444444444444446</v>
      </c>
      <c r="D91" s="2">
        <f t="array" ref="D91:E91">FEvaluate_Bezier($A$2:$A$8,$B$2:$B$8,1,1,2,3,$C91, "Chart 1")</f>
        <v>66.999999999999986</v>
      </c>
      <c r="E91" s="2">
        <v>124.78289780521263</v>
      </c>
    </row>
    <row r="92" spans="1:5" x14ac:dyDescent="0.25">
      <c r="A92">
        <f t="shared" si="2"/>
        <v>68</v>
      </c>
      <c r="C92" s="2">
        <f t="shared" si="3"/>
        <v>0.75555555555555554</v>
      </c>
      <c r="D92" s="2">
        <f t="array" ref="D92:E92">FEvaluate_Bezier($A$2:$A$8,$B$2:$B$8,1,1,2,3,$C92, "Chart 1")</f>
        <v>67.999999999999986</v>
      </c>
      <c r="E92" s="2">
        <v>126.07281207133059</v>
      </c>
    </row>
    <row r="93" spans="1:5" x14ac:dyDescent="0.25">
      <c r="A93">
        <f t="shared" si="2"/>
        <v>69</v>
      </c>
      <c r="C93" s="2">
        <f t="shared" si="3"/>
        <v>0.76666666666666672</v>
      </c>
      <c r="D93" s="2">
        <f t="array" ref="D93:E93">FEvaluate_Bezier($A$2:$A$8,$B$2:$B$8,1,1,2,3,$C93, "Chart 1")</f>
        <v>69</v>
      </c>
      <c r="E93" s="2">
        <v>127.34787037037037</v>
      </c>
    </row>
    <row r="94" spans="1:5" x14ac:dyDescent="0.25">
      <c r="A94">
        <f t="shared" si="2"/>
        <v>70</v>
      </c>
      <c r="C94" s="2">
        <f t="shared" si="3"/>
        <v>0.77777777777777779</v>
      </c>
      <c r="D94" s="2">
        <f t="array" ref="D94:E94">FEvaluate_Bezier($A$2:$A$8,$B$2:$B$8,1,1,2,3,$C94, "Chart 1")</f>
        <v>69.999999999999986</v>
      </c>
      <c r="E94" s="2">
        <v>128.60768175582993</v>
      </c>
    </row>
    <row r="95" spans="1:5" x14ac:dyDescent="0.25">
      <c r="A95">
        <f t="shared" si="2"/>
        <v>71</v>
      </c>
      <c r="C95" s="2">
        <f t="shared" si="3"/>
        <v>0.78888888888888886</v>
      </c>
      <c r="D95" s="2">
        <f t="array" ref="D95:E95">FEvaluate_Bezier($A$2:$A$8,$B$2:$B$8,1,1,2,3,$C95, "Chart 1")</f>
        <v>70.999999999999986</v>
      </c>
      <c r="E95" s="2">
        <v>129.85185528120712</v>
      </c>
    </row>
    <row r="96" spans="1:5" x14ac:dyDescent="0.25">
      <c r="A96">
        <f t="shared" si="2"/>
        <v>72</v>
      </c>
      <c r="C96" s="2">
        <f t="shared" si="3"/>
        <v>0.8</v>
      </c>
      <c r="D96" s="2">
        <f t="array" ref="D96:E96">FEvaluate_Bezier($A$2:$A$8,$B$2:$B$8,1,1,2,3,$C96, "Chart 1")</f>
        <v>72</v>
      </c>
      <c r="E96" s="2">
        <v>131.08000000000001</v>
      </c>
    </row>
    <row r="97" spans="1:5" x14ac:dyDescent="0.25">
      <c r="A97">
        <f t="shared" si="2"/>
        <v>73</v>
      </c>
      <c r="C97" s="2">
        <f t="shared" si="3"/>
        <v>0.81111111111111112</v>
      </c>
      <c r="D97" s="2">
        <f t="array" ref="D97:E97">FEvaluate_Bezier($A$2:$A$8,$B$2:$B$8,1,1,2,3,$C97, "Chart 1")</f>
        <v>72.999999999999986</v>
      </c>
      <c r="E97" s="2">
        <v>132.29172496570646</v>
      </c>
    </row>
    <row r="98" spans="1:5" x14ac:dyDescent="0.25">
      <c r="A98">
        <f t="shared" si="2"/>
        <v>74</v>
      </c>
      <c r="C98" s="2">
        <f t="shared" si="3"/>
        <v>0.82222222222222219</v>
      </c>
      <c r="D98" s="2">
        <f t="array" ref="D98:E98">FEvaluate_Bezier($A$2:$A$8,$B$2:$B$8,1,1,2,3,$C98, "Chart 1")</f>
        <v>74</v>
      </c>
      <c r="E98" s="2">
        <v>133.4866392318244</v>
      </c>
    </row>
    <row r="99" spans="1:5" x14ac:dyDescent="0.25">
      <c r="A99">
        <f t="shared" si="2"/>
        <v>75</v>
      </c>
      <c r="C99" s="2">
        <f t="shared" si="3"/>
        <v>0.83333333333333337</v>
      </c>
      <c r="D99" s="2">
        <f t="array" ref="D99:E99">FEvaluate_Bezier($A$2:$A$8,$B$2:$B$8,1,1,2,3,$C99, "Chart 1")</f>
        <v>75</v>
      </c>
      <c r="E99" s="2">
        <v>134.66435185185182</v>
      </c>
    </row>
    <row r="100" spans="1:5" x14ac:dyDescent="0.25">
      <c r="A100">
        <f t="shared" si="2"/>
        <v>76</v>
      </c>
      <c r="C100" s="2">
        <f t="shared" si="3"/>
        <v>0.84444444444444444</v>
      </c>
      <c r="D100" s="2">
        <f t="array" ref="D100:E100">FEvaluate_Bezier($A$2:$A$8,$B$2:$B$8,1,1,2,3,$C100, "Chart 1")</f>
        <v>75.999999999999986</v>
      </c>
      <c r="E100" s="2">
        <v>135.8244718792867</v>
      </c>
    </row>
    <row r="101" spans="1:5" x14ac:dyDescent="0.25">
      <c r="A101">
        <f t="shared" si="2"/>
        <v>77</v>
      </c>
      <c r="C101" s="2">
        <f t="shared" si="3"/>
        <v>0.85555555555555551</v>
      </c>
      <c r="D101" s="2">
        <f t="array" ref="D101:E101">FEvaluate_Bezier($A$2:$A$8,$B$2:$B$8,1,1,2,3,$C101, "Chart 1")</f>
        <v>76.999999999999986</v>
      </c>
      <c r="E101" s="2">
        <v>136.96660836762689</v>
      </c>
    </row>
    <row r="102" spans="1:5" x14ac:dyDescent="0.25">
      <c r="A102">
        <f t="shared" si="2"/>
        <v>78</v>
      </c>
      <c r="C102" s="2">
        <f t="shared" si="3"/>
        <v>0.8666666666666667</v>
      </c>
      <c r="D102" s="2">
        <f t="array" ref="D102:E102">FEvaluate_Bezier($A$2:$A$8,$B$2:$B$8,1,1,2,3,$C102, "Chart 1")</f>
        <v>78</v>
      </c>
      <c r="E102" s="2">
        <v>138.09037037037035</v>
      </c>
    </row>
    <row r="103" spans="1:5" x14ac:dyDescent="0.25">
      <c r="A103">
        <f t="shared" si="2"/>
        <v>79</v>
      </c>
      <c r="C103" s="2">
        <f t="shared" si="3"/>
        <v>0.87777777777777777</v>
      </c>
      <c r="D103" s="2">
        <f t="array" ref="D103:E103">FEvaluate_Bezier($A$2:$A$8,$B$2:$B$8,1,1,2,3,$C103, "Chart 1")</f>
        <v>78.999999999999986</v>
      </c>
      <c r="E103" s="2">
        <v>139.1953669410151</v>
      </c>
    </row>
    <row r="104" spans="1:5" x14ac:dyDescent="0.25">
      <c r="A104">
        <f t="shared" si="2"/>
        <v>80</v>
      </c>
      <c r="C104" s="2">
        <f t="shared" si="3"/>
        <v>0.88888888888888884</v>
      </c>
      <c r="D104" s="2">
        <f t="array" ref="D104:E104">FEvaluate_Bezier($A$2:$A$8,$B$2:$B$8,1,1,2,3,$C104, "Chart 1")</f>
        <v>79.999999999999972</v>
      </c>
      <c r="E104" s="2">
        <v>140.28120713305898</v>
      </c>
    </row>
    <row r="105" spans="1:5" x14ac:dyDescent="0.25">
      <c r="A105">
        <f t="shared" si="2"/>
        <v>81</v>
      </c>
      <c r="C105" s="2">
        <f t="shared" si="3"/>
        <v>0.9</v>
      </c>
      <c r="D105" s="2">
        <f t="array" ref="D105:E105">FEvaluate_Bezier($A$2:$A$8,$B$2:$B$8,1,1,2,3,$C105, "Chart 1")</f>
        <v>80.999999999999986</v>
      </c>
      <c r="E105" s="2">
        <v>141.34750000000003</v>
      </c>
    </row>
    <row r="106" spans="1:5" x14ac:dyDescent="0.25">
      <c r="A106">
        <f t="shared" si="2"/>
        <v>82</v>
      </c>
      <c r="C106" s="2">
        <f t="shared" si="3"/>
        <v>0.91111111111111109</v>
      </c>
      <c r="D106" s="2">
        <f t="array" ref="D106:E106">FEvaluate_Bezier($A$2:$A$8,$B$2:$B$8,1,1,2,3,$C106, "Chart 1")</f>
        <v>82</v>
      </c>
      <c r="E106" s="2">
        <v>142.39385459533611</v>
      </c>
    </row>
    <row r="107" spans="1:5" x14ac:dyDescent="0.25">
      <c r="A107">
        <f t="shared" si="2"/>
        <v>83</v>
      </c>
      <c r="C107" s="2">
        <f t="shared" si="3"/>
        <v>0.92222222222222228</v>
      </c>
      <c r="D107" s="2">
        <f t="array" ref="D107:E107">FEvaluate_Bezier($A$2:$A$8,$B$2:$B$8,1,1,2,3,$C107, "Chart 1")</f>
        <v>82.999999999999986</v>
      </c>
      <c r="E107" s="2">
        <v>143.41987997256516</v>
      </c>
    </row>
    <row r="108" spans="1:5" x14ac:dyDescent="0.25">
      <c r="A108">
        <f t="shared" si="2"/>
        <v>84</v>
      </c>
      <c r="C108" s="2">
        <f t="shared" si="3"/>
        <v>0.93333333333333335</v>
      </c>
      <c r="D108" s="2">
        <f t="array" ref="D108:E108">FEvaluate_Bezier($A$2:$A$8,$B$2:$B$8,1,1,2,3,$C108, "Chart 1")</f>
        <v>83.999999999999986</v>
      </c>
      <c r="E108" s="2">
        <v>144.42518518518517</v>
      </c>
    </row>
    <row r="109" spans="1:5" x14ac:dyDescent="0.25">
      <c r="A109">
        <f t="shared" si="2"/>
        <v>85</v>
      </c>
      <c r="C109" s="2">
        <f t="shared" si="3"/>
        <v>0.94444444444444442</v>
      </c>
      <c r="D109" s="2">
        <f t="array" ref="D109:E109">FEvaluate_Bezier($A$2:$A$8,$B$2:$B$8,1,1,2,3,$C109, "Chart 1")</f>
        <v>85</v>
      </c>
      <c r="E109" s="2">
        <v>145.4093792866941</v>
      </c>
    </row>
    <row r="110" spans="1:5" x14ac:dyDescent="0.25">
      <c r="A110">
        <f t="shared" si="2"/>
        <v>86</v>
      </c>
      <c r="C110" s="2">
        <f t="shared" si="3"/>
        <v>0.9555555555555556</v>
      </c>
      <c r="D110" s="2">
        <f t="array" ref="D110:E110">FEvaluate_Bezier($A$2:$A$8,$B$2:$B$8,1,1,2,3,$C110, "Chart 1")</f>
        <v>85.999999999999986</v>
      </c>
      <c r="E110" s="2">
        <v>146.37207133058982</v>
      </c>
    </row>
    <row r="111" spans="1:5" x14ac:dyDescent="0.25">
      <c r="A111">
        <f t="shared" si="2"/>
        <v>87</v>
      </c>
      <c r="C111" s="2">
        <f t="shared" si="3"/>
        <v>0.96666666666666667</v>
      </c>
      <c r="D111" s="2">
        <f t="array" ref="D111:E111">FEvaluate_Bezier($A$2:$A$8,$B$2:$B$8,1,1,2,3,$C111, "Chart 1")</f>
        <v>87</v>
      </c>
      <c r="E111" s="2">
        <v>147.31287037037038</v>
      </c>
    </row>
    <row r="112" spans="1:5" x14ac:dyDescent="0.25">
      <c r="A112">
        <f t="shared" si="2"/>
        <v>88</v>
      </c>
      <c r="C112" s="2">
        <f t="shared" si="3"/>
        <v>0.97777777777777775</v>
      </c>
      <c r="D112" s="2">
        <f t="array" ref="D112:E112">FEvaluate_Bezier($A$2:$A$8,$B$2:$B$8,1,1,2,3,$C112, "Chart 1")</f>
        <v>87.999999999999986</v>
      </c>
      <c r="E112" s="2">
        <v>148.23138545953361</v>
      </c>
    </row>
    <row r="113" spans="1:5" x14ac:dyDescent="0.25">
      <c r="A113">
        <f t="shared" si="2"/>
        <v>89</v>
      </c>
      <c r="C113" s="2">
        <f t="shared" si="3"/>
        <v>0.98888888888888893</v>
      </c>
      <c r="D113" s="2">
        <f t="array" ref="D113:E113">FEvaluate_Bezier($A$2:$A$8,$B$2:$B$8,1,1,2,3,$C113, "Chart 1")</f>
        <v>88.999999999999986</v>
      </c>
      <c r="E113" s="2">
        <v>149.1272256515775</v>
      </c>
    </row>
    <row r="114" spans="1:5" x14ac:dyDescent="0.25">
      <c r="A114" s="3">
        <f t="shared" si="2"/>
        <v>90</v>
      </c>
      <c r="B114" s="3">
        <f>$B$3</f>
        <v>150</v>
      </c>
      <c r="C114" s="4">
        <v>0</v>
      </c>
      <c r="D114" s="3">
        <f>$A$114</f>
        <v>90</v>
      </c>
      <c r="E114" s="3">
        <f>$B$3</f>
        <v>150</v>
      </c>
    </row>
    <row r="115" spans="1:5" x14ac:dyDescent="0.25">
      <c r="A115">
        <f t="shared" si="2"/>
        <v>91</v>
      </c>
      <c r="C115" s="2">
        <f>(ROW(C115)-ROW($C$114))/(ROW($C$204)-ROW($C$114))</f>
        <v>1.1111111111111112E-2</v>
      </c>
      <c r="D115">
        <f t="array" ref="D115:E115">FEvaluate_Bezier($A$2:$A$8,$B$2:$B$8,1,2,3,4,$C115, "Chart 1")</f>
        <v>91.004272976680383</v>
      </c>
      <c r="E115">
        <v>150.84944787379973</v>
      </c>
    </row>
    <row r="116" spans="1:5" x14ac:dyDescent="0.25">
      <c r="A116">
        <f t="shared" si="2"/>
        <v>92</v>
      </c>
      <c r="C116" s="2">
        <f t="shared" ref="C116:C179" si="4">(ROW(C116)-ROW($C$114))/(ROW($C$204)-ROW($C$114))</f>
        <v>2.2222222222222223E-2</v>
      </c>
      <c r="D116">
        <f t="array" ref="D116:E116">FEvaluate_Bezier($A$2:$A$8,$B$2:$B$8,1,2,3,4,$C116, "Chart 1")</f>
        <v>92.016899862825767</v>
      </c>
      <c r="E116">
        <v>151.67582990397804</v>
      </c>
    </row>
    <row r="117" spans="1:5" x14ac:dyDescent="0.25">
      <c r="A117">
        <f t="shared" si="2"/>
        <v>93</v>
      </c>
      <c r="C117" s="2">
        <f t="shared" si="4"/>
        <v>3.3333333333333333E-2</v>
      </c>
      <c r="D117">
        <f t="array" ref="D117:E117">FEvaluate_Bezier($A$2:$A$8,$B$2:$B$8,1,2,3,4,$C117, "Chart 1")</f>
        <v>93.037592592592588</v>
      </c>
      <c r="E117">
        <v>152.47953703703703</v>
      </c>
    </row>
    <row r="118" spans="1:5" x14ac:dyDescent="0.25">
      <c r="A118">
        <f t="shared" si="2"/>
        <v>94</v>
      </c>
      <c r="C118" s="2">
        <f t="shared" si="4"/>
        <v>4.4444444444444446E-2</v>
      </c>
      <c r="D118">
        <f t="array" ref="D118:E118">FEvaluate_Bezier($A$2:$A$8,$B$2:$B$8,1,2,3,4,$C118, "Chart 1")</f>
        <v>94.066063100137171</v>
      </c>
      <c r="E118">
        <v>153.2609602194787</v>
      </c>
    </row>
    <row r="119" spans="1:5" x14ac:dyDescent="0.25">
      <c r="A119">
        <f t="shared" si="2"/>
        <v>95</v>
      </c>
      <c r="C119" s="2">
        <f t="shared" si="4"/>
        <v>5.5555555555555552E-2</v>
      </c>
      <c r="D119">
        <f t="array" ref="D119:E119">FEvaluate_Bezier($A$2:$A$8,$B$2:$B$8,1,2,3,4,$C119, "Chart 1")</f>
        <v>95.10202331961591</v>
      </c>
      <c r="E119">
        <v>154.02049039780525</v>
      </c>
    </row>
    <row r="120" spans="1:5" x14ac:dyDescent="0.25">
      <c r="A120">
        <f t="shared" si="2"/>
        <v>96</v>
      </c>
      <c r="C120" s="2">
        <f t="shared" si="4"/>
        <v>6.6666666666666666E-2</v>
      </c>
      <c r="D120">
        <f t="array" ref="D120:E120">FEvaluate_Bezier($A$2:$A$8,$B$2:$B$8,1,2,3,4,$C120, "Chart 1")</f>
        <v>96.14518518518517</v>
      </c>
      <c r="E120">
        <v>154.75851851851851</v>
      </c>
    </row>
    <row r="121" spans="1:5" x14ac:dyDescent="0.25">
      <c r="A121">
        <f t="shared" si="2"/>
        <v>97</v>
      </c>
      <c r="C121" s="2">
        <f t="shared" si="4"/>
        <v>7.7777777777777779E-2</v>
      </c>
      <c r="D121">
        <f t="array" ref="D121:E121">FEvaluate_Bezier($A$2:$A$8,$B$2:$B$8,1,2,3,4,$C121, "Chart 1")</f>
        <v>97.195260631001389</v>
      </c>
      <c r="E121">
        <v>155.4754355281207</v>
      </c>
    </row>
    <row r="122" spans="1:5" x14ac:dyDescent="0.25">
      <c r="A122">
        <f t="shared" si="2"/>
        <v>98</v>
      </c>
      <c r="C122" s="2">
        <f t="shared" si="4"/>
        <v>8.8888888888888892E-2</v>
      </c>
      <c r="D122">
        <f t="array" ref="D122:E122">FEvaluate_Bezier($A$2:$A$8,$B$2:$B$8,1,2,3,4,$C122, "Chart 1")</f>
        <v>98.251961591220834</v>
      </c>
      <c r="E122">
        <v>156.17163237311388</v>
      </c>
    </row>
    <row r="123" spans="1:5" x14ac:dyDescent="0.25">
      <c r="A123">
        <f t="shared" si="2"/>
        <v>99</v>
      </c>
      <c r="C123" s="2">
        <f t="shared" si="4"/>
        <v>0.1</v>
      </c>
      <c r="D123">
        <f t="array" ref="D123:E123">FEvaluate_Bezier($A$2:$A$8,$B$2:$B$8,1,2,3,4,$C123, "Chart 1")</f>
        <v>99.314999999999998</v>
      </c>
      <c r="E123">
        <v>156.84749999999997</v>
      </c>
    </row>
    <row r="124" spans="1:5" x14ac:dyDescent="0.25">
      <c r="A124">
        <f t="shared" si="2"/>
        <v>100</v>
      </c>
      <c r="C124" s="2">
        <f t="shared" si="4"/>
        <v>0.1111111111111111</v>
      </c>
      <c r="D124">
        <f t="array" ref="D124:E124">FEvaluate_Bezier($A$2:$A$8,$B$2:$B$8,1,2,3,4,$C124, "Chart 1")</f>
        <v>100.38408779149515</v>
      </c>
      <c r="E124">
        <v>157.50342935528121</v>
      </c>
    </row>
    <row r="125" spans="1:5" x14ac:dyDescent="0.25">
      <c r="A125">
        <f t="shared" si="2"/>
        <v>101</v>
      </c>
      <c r="C125" s="2">
        <f t="shared" si="4"/>
        <v>0.12222222222222222</v>
      </c>
      <c r="D125">
        <f t="array" ref="D125:E125">FEvaluate_Bezier($A$2:$A$8,$B$2:$B$8,1,2,3,4,$C125, "Chart 1")</f>
        <v>101.45893689986279</v>
      </c>
      <c r="E125">
        <v>158.13981138545952</v>
      </c>
    </row>
    <row r="126" spans="1:5" x14ac:dyDescent="0.25">
      <c r="A126">
        <f t="shared" si="2"/>
        <v>102</v>
      </c>
      <c r="C126" s="2">
        <f t="shared" si="4"/>
        <v>0.13333333333333333</v>
      </c>
      <c r="D126">
        <f t="array" ref="D126:E126">FEvaluate_Bezier($A$2:$A$8,$B$2:$B$8,1,2,3,4,$C126, "Chart 1")</f>
        <v>102.53925925925925</v>
      </c>
      <c r="E126">
        <v>158.75703703703704</v>
      </c>
    </row>
    <row r="127" spans="1:5" x14ac:dyDescent="0.25">
      <c r="A127">
        <f t="shared" si="2"/>
        <v>103</v>
      </c>
      <c r="C127" s="2">
        <f t="shared" si="4"/>
        <v>0.14444444444444443</v>
      </c>
      <c r="D127">
        <f t="array" ref="D127:E127">FEvaluate_Bezier($A$2:$A$8,$B$2:$B$8,1,2,3,4,$C127, "Chart 1")</f>
        <v>103.6247668038409</v>
      </c>
      <c r="E127">
        <v>159.35549725651575</v>
      </c>
    </row>
    <row r="128" spans="1:5" x14ac:dyDescent="0.25">
      <c r="A128">
        <f t="shared" si="2"/>
        <v>104</v>
      </c>
      <c r="C128" s="2">
        <f t="shared" si="4"/>
        <v>0.15555555555555556</v>
      </c>
      <c r="D128">
        <f t="array" ref="D128:E128">FEvaluate_Bezier($A$2:$A$8,$B$2:$B$8,1,2,3,4,$C128, "Chart 1")</f>
        <v>104.71517146776405</v>
      </c>
      <c r="E128">
        <v>159.93558299039779</v>
      </c>
    </row>
    <row r="129" spans="1:5" x14ac:dyDescent="0.25">
      <c r="A129">
        <f t="shared" si="2"/>
        <v>105</v>
      </c>
      <c r="C129" s="2">
        <f t="shared" si="4"/>
        <v>0.16666666666666666</v>
      </c>
      <c r="D129">
        <f t="array" ref="D129:E129">FEvaluate_Bezier($A$2:$A$8,$B$2:$B$8,1,2,3,4,$C129, "Chart 1")</f>
        <v>105.81018518518518</v>
      </c>
      <c r="E129">
        <v>160.49768518518516</v>
      </c>
    </row>
    <row r="130" spans="1:5" x14ac:dyDescent="0.25">
      <c r="A130">
        <f t="shared" si="2"/>
        <v>106</v>
      </c>
      <c r="C130" s="2">
        <f t="shared" si="4"/>
        <v>0.17777777777777778</v>
      </c>
      <c r="D130">
        <f t="array" ref="D130:E130">FEvaluate_Bezier($A$2:$A$8,$B$2:$B$8,1,2,3,4,$C130, "Chart 1")</f>
        <v>106.9095198902606</v>
      </c>
      <c r="E130">
        <v>161.04219478737997</v>
      </c>
    </row>
    <row r="131" spans="1:5" x14ac:dyDescent="0.25">
      <c r="A131">
        <f t="shared" si="2"/>
        <v>107</v>
      </c>
      <c r="C131" s="2">
        <f t="shared" si="4"/>
        <v>0.18888888888888888</v>
      </c>
      <c r="D131">
        <f t="array" ref="D131:E131">FEvaluate_Bezier($A$2:$A$8,$B$2:$B$8,1,2,3,4,$C131, "Chart 1")</f>
        <v>108.01288751714677</v>
      </c>
      <c r="E131">
        <v>161.56950274348421</v>
      </c>
    </row>
    <row r="132" spans="1:5" x14ac:dyDescent="0.25">
      <c r="A132">
        <f t="shared" si="2"/>
        <v>108</v>
      </c>
      <c r="C132" s="2">
        <f t="shared" si="4"/>
        <v>0.2</v>
      </c>
      <c r="D132">
        <f t="array" ref="D132:E132">FEvaluate_Bezier($A$2:$A$8,$B$2:$B$8,1,2,3,4,$C132, "Chart 1")</f>
        <v>109.12</v>
      </c>
      <c r="E132">
        <v>162.07999999999998</v>
      </c>
    </row>
    <row r="133" spans="1:5" x14ac:dyDescent="0.25">
      <c r="A133">
        <f t="shared" si="2"/>
        <v>109</v>
      </c>
      <c r="C133" s="2">
        <f t="shared" si="4"/>
        <v>0.21111111111111111</v>
      </c>
      <c r="D133">
        <f t="array" ref="D133:E133">FEvaluate_Bezier($A$2:$A$8,$B$2:$B$8,1,2,3,4,$C133, "Chart 1")</f>
        <v>110.23056927297665</v>
      </c>
      <c r="E133">
        <v>162.57407750342935</v>
      </c>
    </row>
    <row r="134" spans="1:5" x14ac:dyDescent="0.25">
      <c r="A134">
        <f t="shared" si="2"/>
        <v>110</v>
      </c>
      <c r="C134" s="2">
        <f t="shared" si="4"/>
        <v>0.22222222222222221</v>
      </c>
      <c r="D134">
        <f t="array" ref="D134:E134">FEvaluate_Bezier($A$2:$A$8,$B$2:$B$8,1,2,3,4,$C134, "Chart 1")</f>
        <v>111.34430727023317</v>
      </c>
      <c r="E134">
        <v>163.05212620027433</v>
      </c>
    </row>
    <row r="135" spans="1:5" x14ac:dyDescent="0.25">
      <c r="A135">
        <f t="shared" si="2"/>
        <v>111</v>
      </c>
      <c r="C135" s="2">
        <f t="shared" si="4"/>
        <v>0.23333333333333334</v>
      </c>
      <c r="D135">
        <f t="array" ref="D135:E135">FEvaluate_Bezier($A$2:$A$8,$B$2:$B$8,1,2,3,4,$C135, "Chart 1")</f>
        <v>112.46092592592589</v>
      </c>
      <c r="E135">
        <v>163.51453703703706</v>
      </c>
    </row>
    <row r="136" spans="1:5" x14ac:dyDescent="0.25">
      <c r="A136">
        <f t="shared" si="2"/>
        <v>112</v>
      </c>
      <c r="C136" s="2">
        <f t="shared" si="4"/>
        <v>0.24444444444444444</v>
      </c>
      <c r="D136">
        <f t="array" ref="D136:E136">FEvaluate_Bezier($A$2:$A$8,$B$2:$B$8,1,2,3,4,$C136, "Chart 1")</f>
        <v>113.58013717421122</v>
      </c>
      <c r="E136">
        <v>163.96170096021947</v>
      </c>
    </row>
    <row r="137" spans="1:5" x14ac:dyDescent="0.25">
      <c r="A137">
        <f t="shared" si="2"/>
        <v>113</v>
      </c>
      <c r="C137" s="2">
        <f t="shared" si="4"/>
        <v>0.25555555555555554</v>
      </c>
      <c r="D137">
        <f t="array" ref="D137:E137">FEvaluate_Bezier($A$2:$A$8,$B$2:$B$8,1,2,3,4,$C137, "Chart 1")</f>
        <v>114.70165294924554</v>
      </c>
      <c r="E137">
        <v>164.39400891632371</v>
      </c>
    </row>
    <row r="138" spans="1:5" x14ac:dyDescent="0.25">
      <c r="A138">
        <f t="shared" si="2"/>
        <v>114</v>
      </c>
      <c r="C138" s="2">
        <f t="shared" si="4"/>
        <v>0.26666666666666666</v>
      </c>
      <c r="D138">
        <f t="array" ref="D138:E138">FEvaluate_Bezier($A$2:$A$8,$B$2:$B$8,1,2,3,4,$C138, "Chart 1")</f>
        <v>115.82518518518521</v>
      </c>
      <c r="E138">
        <v>164.81185185185183</v>
      </c>
    </row>
    <row r="139" spans="1:5" x14ac:dyDescent="0.25">
      <c r="A139">
        <f t="shared" si="2"/>
        <v>115</v>
      </c>
      <c r="C139" s="2">
        <f t="shared" si="4"/>
        <v>0.27777777777777779</v>
      </c>
      <c r="D139">
        <f t="array" ref="D139:E139">FEvaluate_Bezier($A$2:$A$8,$B$2:$B$8,1,2,3,4,$C139, "Chart 1")</f>
        <v>116.95044581618654</v>
      </c>
      <c r="E139">
        <v>165.2156207133059</v>
      </c>
    </row>
    <row r="140" spans="1:5" x14ac:dyDescent="0.25">
      <c r="A140">
        <f t="shared" si="2"/>
        <v>116</v>
      </c>
      <c r="C140" s="2">
        <f t="shared" si="4"/>
        <v>0.28888888888888886</v>
      </c>
      <c r="D140">
        <f t="array" ref="D140:E140">FEvaluate_Bezier($A$2:$A$8,$B$2:$B$8,1,2,3,4,$C140, "Chart 1")</f>
        <v>118.07714677640602</v>
      </c>
      <c r="E140">
        <v>165.60570644718791</v>
      </c>
    </row>
    <row r="141" spans="1:5" x14ac:dyDescent="0.25">
      <c r="A141">
        <f t="shared" si="2"/>
        <v>117</v>
      </c>
      <c r="C141" s="2">
        <f t="shared" si="4"/>
        <v>0.3</v>
      </c>
      <c r="D141">
        <f t="array" ref="D141:E141">FEvaluate_Bezier($A$2:$A$8,$B$2:$B$8,1,2,3,4,$C141, "Chart 1")</f>
        <v>119.20499999999996</v>
      </c>
      <c r="E141">
        <v>165.98250000000004</v>
      </c>
    </row>
    <row r="142" spans="1:5" x14ac:dyDescent="0.25">
      <c r="A142">
        <f t="shared" si="2"/>
        <v>118</v>
      </c>
      <c r="C142" s="2">
        <f t="shared" si="4"/>
        <v>0.31111111111111112</v>
      </c>
      <c r="D142">
        <f t="array" ref="D142:E142">FEvaluate_Bezier($A$2:$A$8,$B$2:$B$8,1,2,3,4,$C142, "Chart 1")</f>
        <v>120.33371742112482</v>
      </c>
      <c r="E142">
        <v>166.34639231824417</v>
      </c>
    </row>
    <row r="143" spans="1:5" x14ac:dyDescent="0.25">
      <c r="A143">
        <f t="shared" si="2"/>
        <v>119</v>
      </c>
      <c r="C143" s="2">
        <f t="shared" si="4"/>
        <v>0.32222222222222224</v>
      </c>
      <c r="D143">
        <f t="array" ref="D143:E143">FEvaluate_Bezier($A$2:$A$8,$B$2:$B$8,1,2,3,4,$C143, "Chart 1")</f>
        <v>121.46301097393689</v>
      </c>
      <c r="E143">
        <v>166.69777434842248</v>
      </c>
    </row>
    <row r="144" spans="1:5" x14ac:dyDescent="0.25">
      <c r="A144">
        <f t="shared" si="2"/>
        <v>120</v>
      </c>
      <c r="C144" s="2">
        <f t="shared" si="4"/>
        <v>0.33333333333333331</v>
      </c>
      <c r="D144">
        <f t="array" ref="D144:E144">FEvaluate_Bezier($A$2:$A$8,$B$2:$B$8,1,2,3,4,$C144, "Chart 1")</f>
        <v>122.59259259259258</v>
      </c>
      <c r="E144">
        <v>167.03703703703701</v>
      </c>
    </row>
    <row r="145" spans="1:5" x14ac:dyDescent="0.25">
      <c r="A145">
        <f t="shared" si="2"/>
        <v>121</v>
      </c>
      <c r="C145" s="2">
        <f t="shared" si="4"/>
        <v>0.34444444444444444</v>
      </c>
      <c r="D145">
        <f t="array" ref="D145:E145">FEvaluate_Bezier($A$2:$A$8,$B$2:$B$8,1,2,3,4,$C145, "Chart 1")</f>
        <v>123.72217421124827</v>
      </c>
      <c r="E145">
        <v>167.36457133058985</v>
      </c>
    </row>
    <row r="146" spans="1:5" x14ac:dyDescent="0.25">
      <c r="A146">
        <f t="shared" si="2"/>
        <v>122</v>
      </c>
      <c r="C146" s="2">
        <f t="shared" si="4"/>
        <v>0.35555555555555557</v>
      </c>
      <c r="D146">
        <f t="array" ref="D146:E146">FEvaluate_Bezier($A$2:$A$8,$B$2:$B$8,1,2,3,4,$C146, "Chart 1")</f>
        <v>124.85146776406032</v>
      </c>
      <c r="E146">
        <v>167.68076817558301</v>
      </c>
    </row>
    <row r="147" spans="1:5" x14ac:dyDescent="0.25">
      <c r="A147">
        <f t="shared" si="2"/>
        <v>123</v>
      </c>
      <c r="C147" s="2">
        <f t="shared" si="4"/>
        <v>0.36666666666666664</v>
      </c>
      <c r="D147">
        <f t="array" ref="D147:E147">FEvaluate_Bezier($A$2:$A$8,$B$2:$B$8,1,2,3,4,$C147, "Chart 1")</f>
        <v>125.98018518518515</v>
      </c>
      <c r="E147">
        <v>167.98601851851853</v>
      </c>
    </row>
    <row r="148" spans="1:5" x14ac:dyDescent="0.25">
      <c r="A148">
        <f t="shared" si="2"/>
        <v>124</v>
      </c>
      <c r="C148" s="2">
        <f t="shared" si="4"/>
        <v>0.37777777777777777</v>
      </c>
      <c r="D148">
        <f t="array" ref="D148:E148">FEvaluate_Bezier($A$2:$A$8,$B$2:$B$8,1,2,3,4,$C148, "Chart 1")</f>
        <v>127.10803840877914</v>
      </c>
      <c r="E148">
        <v>168.2807133058985</v>
      </c>
    </row>
    <row r="149" spans="1:5" x14ac:dyDescent="0.25">
      <c r="A149">
        <f t="shared" si="2"/>
        <v>125</v>
      </c>
      <c r="C149" s="2">
        <f t="shared" si="4"/>
        <v>0.3888888888888889</v>
      </c>
      <c r="D149">
        <f t="array" ref="D149:E149">FEvaluate_Bezier($A$2:$A$8,$B$2:$B$8,1,2,3,4,$C149, "Chart 1")</f>
        <v>128.23473936899865</v>
      </c>
      <c r="E149">
        <v>168.56524348422494</v>
      </c>
    </row>
    <row r="150" spans="1:5" x14ac:dyDescent="0.25">
      <c r="A150">
        <f t="shared" si="2"/>
        <v>126</v>
      </c>
      <c r="C150" s="2">
        <f t="shared" si="4"/>
        <v>0.4</v>
      </c>
      <c r="D150">
        <f t="array" ref="D150:E150">FEvaluate_Bezier($A$2:$A$8,$B$2:$B$8,1,2,3,4,$C150, "Chart 1")</f>
        <v>129.35999999999999</v>
      </c>
      <c r="E150">
        <v>168.84</v>
      </c>
    </row>
    <row r="151" spans="1:5" x14ac:dyDescent="0.25">
      <c r="A151">
        <f t="shared" si="2"/>
        <v>127</v>
      </c>
      <c r="C151" s="2">
        <f t="shared" si="4"/>
        <v>0.41111111111111109</v>
      </c>
      <c r="D151">
        <f t="array" ref="D151:E151">FEvaluate_Bezier($A$2:$A$8,$B$2:$B$8,1,2,3,4,$C151, "Chart 1")</f>
        <v>130.48353223593963</v>
      </c>
      <c r="E151">
        <v>169.10537379972561</v>
      </c>
    </row>
    <row r="152" spans="1:5" x14ac:dyDescent="0.25">
      <c r="A152">
        <f t="shared" si="2"/>
        <v>128</v>
      </c>
      <c r="C152" s="2">
        <f t="shared" si="4"/>
        <v>0.42222222222222222</v>
      </c>
      <c r="D152">
        <f t="array" ref="D152:E152">FEvaluate_Bezier($A$2:$A$8,$B$2:$B$8,1,2,3,4,$C152, "Chart 1")</f>
        <v>131.60504801097392</v>
      </c>
      <c r="E152">
        <v>169.36175582990398</v>
      </c>
    </row>
    <row r="153" spans="1:5" x14ac:dyDescent="0.25">
      <c r="A153">
        <f t="shared" si="2"/>
        <v>129</v>
      </c>
      <c r="C153" s="2">
        <f t="shared" si="4"/>
        <v>0.43333333333333335</v>
      </c>
      <c r="D153">
        <f t="array" ref="D153:E153">FEvaluate_Bezier($A$2:$A$8,$B$2:$B$8,1,2,3,4,$C153, "Chart 1")</f>
        <v>132.72425925925924</v>
      </c>
      <c r="E153">
        <v>169.60953703703703</v>
      </c>
    </row>
    <row r="154" spans="1:5" x14ac:dyDescent="0.25">
      <c r="A154">
        <f t="shared" ref="A154:A217" si="5">A153+1</f>
        <v>130</v>
      </c>
      <c r="C154" s="2">
        <f t="shared" si="4"/>
        <v>0.44444444444444442</v>
      </c>
      <c r="D154">
        <f t="array" ref="D154:E154">FEvaluate_Bezier($A$2:$A$8,$B$2:$B$8,1,2,3,4,$C154, "Chart 1")</f>
        <v>133.84087791495196</v>
      </c>
      <c r="E154">
        <v>169.84910836762688</v>
      </c>
    </row>
    <row r="155" spans="1:5" x14ac:dyDescent="0.25">
      <c r="A155">
        <f t="shared" si="5"/>
        <v>131</v>
      </c>
      <c r="C155" s="2">
        <f t="shared" si="4"/>
        <v>0.45555555555555555</v>
      </c>
      <c r="D155">
        <f t="array" ref="D155:E155">FEvaluate_Bezier($A$2:$A$8,$B$2:$B$8,1,2,3,4,$C155, "Chart 1")</f>
        <v>134.95461591220851</v>
      </c>
      <c r="E155">
        <v>170.08086076817554</v>
      </c>
    </row>
    <row r="156" spans="1:5" x14ac:dyDescent="0.25">
      <c r="A156">
        <f t="shared" si="5"/>
        <v>132</v>
      </c>
      <c r="C156" s="2">
        <f t="shared" si="4"/>
        <v>0.46666666666666667</v>
      </c>
      <c r="D156">
        <f t="array" ref="D156:E156">FEvaluate_Bezier($A$2:$A$8,$B$2:$B$8,1,2,3,4,$C156, "Chart 1")</f>
        <v>136.06518518518519</v>
      </c>
      <c r="E156">
        <v>170.30518518518517</v>
      </c>
    </row>
    <row r="157" spans="1:5" x14ac:dyDescent="0.25">
      <c r="A157">
        <f t="shared" si="5"/>
        <v>133</v>
      </c>
      <c r="C157" s="2">
        <f t="shared" si="4"/>
        <v>0.4777777777777778</v>
      </c>
      <c r="D157">
        <f t="array" ref="D157:E157">FEvaluate_Bezier($A$2:$A$8,$B$2:$B$8,1,2,3,4,$C157, "Chart 1")</f>
        <v>137.17229766803837</v>
      </c>
      <c r="E157">
        <v>170.52247256515778</v>
      </c>
    </row>
    <row r="158" spans="1:5" x14ac:dyDescent="0.25">
      <c r="A158">
        <f t="shared" si="5"/>
        <v>134</v>
      </c>
      <c r="C158" s="2">
        <f t="shared" si="4"/>
        <v>0.48888888888888887</v>
      </c>
      <c r="D158">
        <f t="array" ref="D158:E158">FEvaluate_Bezier($A$2:$A$8,$B$2:$B$8,1,2,3,4,$C158, "Chart 1")</f>
        <v>138.27566529492452</v>
      </c>
      <c r="E158">
        <v>170.73311385459533</v>
      </c>
    </row>
    <row r="159" spans="1:5" x14ac:dyDescent="0.25">
      <c r="A159">
        <f t="shared" si="5"/>
        <v>135</v>
      </c>
      <c r="C159" s="2">
        <f t="shared" si="4"/>
        <v>0.5</v>
      </c>
      <c r="D159">
        <f t="array" ref="D159:E159">FEvaluate_Bezier($A$2:$A$8,$B$2:$B$8,1,2,3,4,$C159, "Chart 1")</f>
        <v>139.37499999999997</v>
      </c>
      <c r="E159">
        <v>170.93749999999997</v>
      </c>
    </row>
    <row r="160" spans="1:5" x14ac:dyDescent="0.25">
      <c r="A160">
        <f t="shared" si="5"/>
        <v>136</v>
      </c>
      <c r="C160" s="2">
        <f t="shared" si="4"/>
        <v>0.51111111111111107</v>
      </c>
      <c r="D160">
        <f t="array" ref="D160:E160">FEvaluate_Bezier($A$2:$A$8,$B$2:$B$8,1,2,3,4,$C160, "Chart 1")</f>
        <v>140.4700137174211</v>
      </c>
      <c r="E160">
        <v>171.13602194787381</v>
      </c>
    </row>
    <row r="161" spans="1:5" x14ac:dyDescent="0.25">
      <c r="A161">
        <f t="shared" si="5"/>
        <v>137</v>
      </c>
      <c r="C161" s="2">
        <f t="shared" si="4"/>
        <v>0.52222222222222225</v>
      </c>
      <c r="D161">
        <f t="array" ref="D161:E161">FEvaluate_Bezier($A$2:$A$8,$B$2:$B$8,1,2,3,4,$C161, "Chart 1")</f>
        <v>141.56041838134431</v>
      </c>
      <c r="E161">
        <v>171.32907064471877</v>
      </c>
    </row>
    <row r="162" spans="1:5" x14ac:dyDescent="0.25">
      <c r="A162">
        <f t="shared" si="5"/>
        <v>138</v>
      </c>
      <c r="C162" s="2">
        <f t="shared" si="4"/>
        <v>0.53333333333333333</v>
      </c>
      <c r="D162">
        <f t="array" ref="D162:E162">FEvaluate_Bezier($A$2:$A$8,$B$2:$B$8,1,2,3,4,$C162, "Chart 1")</f>
        <v>142.64592592592592</v>
      </c>
      <c r="E162">
        <v>171.51703703703703</v>
      </c>
    </row>
    <row r="163" spans="1:5" x14ac:dyDescent="0.25">
      <c r="A163">
        <f t="shared" si="5"/>
        <v>139</v>
      </c>
      <c r="C163" s="2">
        <f t="shared" si="4"/>
        <v>0.5444444444444444</v>
      </c>
      <c r="D163">
        <f t="array" ref="D163:E163">FEvaluate_Bezier($A$2:$A$8,$B$2:$B$8,1,2,3,4,$C163, "Chart 1")</f>
        <v>143.72624828532233</v>
      </c>
      <c r="E163">
        <v>171.70031207133059</v>
      </c>
    </row>
    <row r="164" spans="1:5" x14ac:dyDescent="0.25">
      <c r="A164">
        <f t="shared" si="5"/>
        <v>140</v>
      </c>
      <c r="C164" s="2">
        <f t="shared" si="4"/>
        <v>0.55555555555555558</v>
      </c>
      <c r="D164">
        <f t="array" ref="D164:E164">FEvaluate_Bezier($A$2:$A$8,$B$2:$B$8,1,2,3,4,$C164, "Chart 1")</f>
        <v>144.80109739368999</v>
      </c>
      <c r="E164">
        <v>171.87928669410149</v>
      </c>
    </row>
    <row r="165" spans="1:5" x14ac:dyDescent="0.25">
      <c r="A165">
        <f t="shared" si="5"/>
        <v>141</v>
      </c>
      <c r="C165" s="2">
        <f t="shared" si="4"/>
        <v>0.56666666666666665</v>
      </c>
      <c r="D165">
        <f t="array" ref="D165:E165">FEvaluate_Bezier($A$2:$A$8,$B$2:$B$8,1,2,3,4,$C165, "Chart 1")</f>
        <v>145.87018518518516</v>
      </c>
      <c r="E165">
        <v>172.05435185185186</v>
      </c>
    </row>
    <row r="166" spans="1:5" x14ac:dyDescent="0.25">
      <c r="A166">
        <f t="shared" si="5"/>
        <v>142</v>
      </c>
      <c r="C166" s="2">
        <f t="shared" si="4"/>
        <v>0.57777777777777772</v>
      </c>
      <c r="D166">
        <f t="array" ref="D166:E166">FEvaluate_Bezier($A$2:$A$8,$B$2:$B$8,1,2,3,4,$C166, "Chart 1")</f>
        <v>146.93322359396433</v>
      </c>
      <c r="E166">
        <v>172.22589849108365</v>
      </c>
    </row>
    <row r="167" spans="1:5" x14ac:dyDescent="0.25">
      <c r="A167">
        <f t="shared" si="5"/>
        <v>143</v>
      </c>
      <c r="C167" s="2">
        <f t="shared" si="4"/>
        <v>0.58888888888888891</v>
      </c>
      <c r="D167">
        <f t="array" ref="D167:E167">FEvaluate_Bezier($A$2:$A$8,$B$2:$B$8,1,2,3,4,$C167, "Chart 1")</f>
        <v>147.9899245541838</v>
      </c>
      <c r="E167">
        <v>172.39431755829904</v>
      </c>
    </row>
    <row r="168" spans="1:5" x14ac:dyDescent="0.25">
      <c r="A168">
        <f t="shared" si="5"/>
        <v>144</v>
      </c>
      <c r="C168" s="2">
        <f t="shared" si="4"/>
        <v>0.6</v>
      </c>
      <c r="D168">
        <f t="array" ref="D168:E168">FEvaluate_Bezier($A$2:$A$8,$B$2:$B$8,1,2,3,4,$C168, "Chart 1")</f>
        <v>149.03999999999996</v>
      </c>
      <c r="E168">
        <v>172.56</v>
      </c>
    </row>
    <row r="169" spans="1:5" x14ac:dyDescent="0.25">
      <c r="A169">
        <f t="shared" si="5"/>
        <v>145</v>
      </c>
      <c r="C169" s="2">
        <f t="shared" si="4"/>
        <v>0.61111111111111116</v>
      </c>
      <c r="D169">
        <f t="array" ref="D169:E169">FEvaluate_Bezier($A$2:$A$8,$B$2:$B$8,1,2,3,4,$C169, "Chart 1")</f>
        <v>150.08316186556925</v>
      </c>
      <c r="E169">
        <v>172.72333676268858</v>
      </c>
    </row>
    <row r="170" spans="1:5" x14ac:dyDescent="0.25">
      <c r="A170">
        <f t="shared" si="5"/>
        <v>146</v>
      </c>
      <c r="C170" s="2">
        <f t="shared" si="4"/>
        <v>0.62222222222222223</v>
      </c>
      <c r="D170">
        <f t="array" ref="D170:E170">FEvaluate_Bezier($A$2:$A$8,$B$2:$B$8,1,2,3,4,$C170, "Chart 1")</f>
        <v>151.11912208504796</v>
      </c>
      <c r="E170">
        <v>172.88471879286692</v>
      </c>
    </row>
    <row r="171" spans="1:5" x14ac:dyDescent="0.25">
      <c r="A171">
        <f t="shared" si="5"/>
        <v>147</v>
      </c>
      <c r="C171" s="2">
        <f t="shared" si="4"/>
        <v>0.6333333333333333</v>
      </c>
      <c r="D171">
        <f t="array" ref="D171:E171">FEvaluate_Bezier($A$2:$A$8,$B$2:$B$8,1,2,3,4,$C171, "Chart 1")</f>
        <v>152.14759259259256</v>
      </c>
      <c r="E171">
        <v>173.04453703703703</v>
      </c>
    </row>
    <row r="172" spans="1:5" x14ac:dyDescent="0.25">
      <c r="A172">
        <f t="shared" si="5"/>
        <v>148</v>
      </c>
      <c r="C172" s="2">
        <f t="shared" si="4"/>
        <v>0.64444444444444449</v>
      </c>
      <c r="D172">
        <f t="array" ref="D172:E172">FEvaluate_Bezier($A$2:$A$8,$B$2:$B$8,1,2,3,4,$C172, "Chart 1")</f>
        <v>153.16828532235937</v>
      </c>
      <c r="E172">
        <v>173.20318244170096</v>
      </c>
    </row>
    <row r="173" spans="1:5" x14ac:dyDescent="0.25">
      <c r="A173">
        <f t="shared" si="5"/>
        <v>149</v>
      </c>
      <c r="C173" s="2">
        <f t="shared" si="4"/>
        <v>0.65555555555555556</v>
      </c>
      <c r="D173">
        <f t="array" ref="D173:E173">FEvaluate_Bezier($A$2:$A$8,$B$2:$B$8,1,2,3,4,$C173, "Chart 1")</f>
        <v>154.18091220850476</v>
      </c>
      <c r="E173">
        <v>173.36104595336076</v>
      </c>
    </row>
    <row r="174" spans="1:5" x14ac:dyDescent="0.25">
      <c r="A174">
        <f t="shared" si="5"/>
        <v>150</v>
      </c>
      <c r="C174" s="2">
        <f t="shared" si="4"/>
        <v>0.66666666666666663</v>
      </c>
      <c r="D174">
        <f t="array" ref="D174:E174">FEvaluate_Bezier($A$2:$A$8,$B$2:$B$8,1,2,3,4,$C174, "Chart 1")</f>
        <v>155.18518518518519</v>
      </c>
      <c r="E174">
        <v>173.5185185185185</v>
      </c>
    </row>
    <row r="175" spans="1:5" x14ac:dyDescent="0.25">
      <c r="A175">
        <f t="shared" si="5"/>
        <v>151</v>
      </c>
      <c r="C175" s="2">
        <f t="shared" si="4"/>
        <v>0.67777777777777781</v>
      </c>
      <c r="D175">
        <f t="array" ref="D175:E175">FEvaluate_Bezier($A$2:$A$8,$B$2:$B$8,1,2,3,4,$C175, "Chart 1")</f>
        <v>156.18081618655694</v>
      </c>
      <c r="E175">
        <v>173.67599108367625</v>
      </c>
    </row>
    <row r="176" spans="1:5" x14ac:dyDescent="0.25">
      <c r="A176">
        <f t="shared" si="5"/>
        <v>152</v>
      </c>
      <c r="C176" s="2">
        <f t="shared" si="4"/>
        <v>0.68888888888888888</v>
      </c>
      <c r="D176">
        <f t="array" ref="D176:E176">FEvaluate_Bezier($A$2:$A$8,$B$2:$B$8,1,2,3,4,$C176, "Chart 1")</f>
        <v>157.16751714677639</v>
      </c>
      <c r="E176">
        <v>173.83385459533608</v>
      </c>
    </row>
    <row r="177" spans="1:5" x14ac:dyDescent="0.25">
      <c r="A177">
        <f t="shared" si="5"/>
        <v>153</v>
      </c>
      <c r="C177" s="2">
        <f t="shared" si="4"/>
        <v>0.7</v>
      </c>
      <c r="D177">
        <f t="array" ref="D177:E177">FEvaluate_Bezier($A$2:$A$8,$B$2:$B$8,1,2,3,4,$C177, "Chart 1")</f>
        <v>158.14499999999998</v>
      </c>
      <c r="E177">
        <v>173.99250000000001</v>
      </c>
    </row>
    <row r="178" spans="1:5" x14ac:dyDescent="0.25">
      <c r="A178">
        <f t="shared" si="5"/>
        <v>154</v>
      </c>
      <c r="C178" s="2">
        <f t="shared" si="4"/>
        <v>0.71111111111111114</v>
      </c>
      <c r="D178">
        <f t="array" ref="D178:E178">FEvaluate_Bezier($A$2:$A$8,$B$2:$B$8,1,2,3,4,$C178, "Chart 1")</f>
        <v>159.11297668038407</v>
      </c>
      <c r="E178">
        <v>174.15231824417009</v>
      </c>
    </row>
    <row r="179" spans="1:5" x14ac:dyDescent="0.25">
      <c r="A179">
        <f t="shared" si="5"/>
        <v>155</v>
      </c>
      <c r="C179" s="2">
        <f t="shared" si="4"/>
        <v>0.72222222222222221</v>
      </c>
      <c r="D179">
        <f t="array" ref="D179:E179">FEvaluate_Bezier($A$2:$A$8,$B$2:$B$8,1,2,3,4,$C179, "Chart 1")</f>
        <v>160.07115912208505</v>
      </c>
      <c r="E179">
        <v>174.31370027434841</v>
      </c>
    </row>
    <row r="180" spans="1:5" x14ac:dyDescent="0.25">
      <c r="A180">
        <f t="shared" si="5"/>
        <v>156</v>
      </c>
      <c r="C180" s="2">
        <f t="shared" ref="C180:C205" si="6">(ROW(C180)-ROW($C$114))/(ROW($C$204)-ROW($C$114))</f>
        <v>0.73333333333333328</v>
      </c>
      <c r="D180">
        <f t="array" ref="D180:E180">FEvaluate_Bezier($A$2:$A$8,$B$2:$B$8,1,2,3,4,$C180, "Chart 1")</f>
        <v>161.01925925925923</v>
      </c>
      <c r="E180">
        <v>174.47703703703704</v>
      </c>
    </row>
    <row r="181" spans="1:5" x14ac:dyDescent="0.25">
      <c r="A181">
        <f t="shared" si="5"/>
        <v>157</v>
      </c>
      <c r="C181" s="2">
        <f t="shared" si="6"/>
        <v>0.74444444444444446</v>
      </c>
      <c r="D181">
        <f t="array" ref="D181:E181">FEvaluate_Bezier($A$2:$A$8,$B$2:$B$8,1,2,3,4,$C181, "Chart 1")</f>
        <v>161.9569890260631</v>
      </c>
      <c r="E181">
        <v>174.642719478738</v>
      </c>
    </row>
    <row r="182" spans="1:5" x14ac:dyDescent="0.25">
      <c r="A182">
        <f t="shared" si="5"/>
        <v>158</v>
      </c>
      <c r="C182" s="2">
        <f t="shared" si="6"/>
        <v>0.75555555555555554</v>
      </c>
      <c r="D182">
        <f t="array" ref="D182:E182">FEvaluate_Bezier($A$2:$A$8,$B$2:$B$8,1,2,3,4,$C182, "Chart 1")</f>
        <v>162.88406035665295</v>
      </c>
      <c r="E182">
        <v>174.81113854595336</v>
      </c>
    </row>
    <row r="183" spans="1:5" x14ac:dyDescent="0.25">
      <c r="A183">
        <f t="shared" si="5"/>
        <v>159</v>
      </c>
      <c r="C183" s="2">
        <f t="shared" si="6"/>
        <v>0.76666666666666672</v>
      </c>
      <c r="D183">
        <f t="array" ref="D183:E183">FEvaluate_Bezier($A$2:$A$8,$B$2:$B$8,1,2,3,4,$C183, "Chart 1")</f>
        <v>163.80018518518517</v>
      </c>
      <c r="E183">
        <v>174.98268518518518</v>
      </c>
    </row>
    <row r="184" spans="1:5" x14ac:dyDescent="0.25">
      <c r="A184">
        <f t="shared" si="5"/>
        <v>160</v>
      </c>
      <c r="C184" s="2">
        <f t="shared" si="6"/>
        <v>0.77777777777777779</v>
      </c>
      <c r="D184">
        <f t="array" ref="D184:E184">FEvaluate_Bezier($A$2:$A$8,$B$2:$B$8,1,2,3,4,$C184, "Chart 1")</f>
        <v>164.70507544581616</v>
      </c>
      <c r="E184">
        <v>175.15775034293551</v>
      </c>
    </row>
    <row r="185" spans="1:5" x14ac:dyDescent="0.25">
      <c r="A185">
        <f t="shared" si="5"/>
        <v>161</v>
      </c>
      <c r="C185" s="2">
        <f t="shared" si="6"/>
        <v>0.78888888888888886</v>
      </c>
      <c r="D185">
        <f t="array" ref="D185:E185">FEvaluate_Bezier($A$2:$A$8,$B$2:$B$8,1,2,3,4,$C185, "Chart 1")</f>
        <v>165.59844307270234</v>
      </c>
      <c r="E185">
        <v>175.33672496570645</v>
      </c>
    </row>
    <row r="186" spans="1:5" x14ac:dyDescent="0.25">
      <c r="A186">
        <f t="shared" si="5"/>
        <v>162</v>
      </c>
      <c r="C186" s="2">
        <f t="shared" si="6"/>
        <v>0.8</v>
      </c>
      <c r="D186">
        <f t="array" ref="D186:E186">FEvaluate_Bezier($A$2:$A$8,$B$2:$B$8,1,2,3,4,$C186, "Chart 1")</f>
        <v>166.48000000000002</v>
      </c>
      <c r="E186">
        <v>175.52</v>
      </c>
    </row>
    <row r="187" spans="1:5" x14ac:dyDescent="0.25">
      <c r="A187">
        <f t="shared" si="5"/>
        <v>163</v>
      </c>
      <c r="C187" s="2">
        <f t="shared" si="6"/>
        <v>0.81111111111111112</v>
      </c>
      <c r="D187">
        <f t="array" ref="D187:E187">FEvaluate_Bezier($A$2:$A$8,$B$2:$B$8,1,2,3,4,$C187, "Chart 1")</f>
        <v>167.34945816186556</v>
      </c>
      <c r="E187">
        <v>175.70796639231821</v>
      </c>
    </row>
    <row r="188" spans="1:5" x14ac:dyDescent="0.25">
      <c r="A188">
        <f t="shared" si="5"/>
        <v>164</v>
      </c>
      <c r="C188" s="2">
        <f t="shared" si="6"/>
        <v>0.82222222222222219</v>
      </c>
      <c r="D188">
        <f t="array" ref="D188:E188">FEvaluate_Bezier($A$2:$A$8,$B$2:$B$8,1,2,3,4,$C188, "Chart 1")</f>
        <v>168.20652949245542</v>
      </c>
      <c r="E188">
        <v>175.90101508916322</v>
      </c>
    </row>
    <row r="189" spans="1:5" x14ac:dyDescent="0.25">
      <c r="A189">
        <f t="shared" si="5"/>
        <v>165</v>
      </c>
      <c r="C189" s="2">
        <f t="shared" si="6"/>
        <v>0.83333333333333337</v>
      </c>
      <c r="D189">
        <f t="array" ref="D189:E189">FEvaluate_Bezier($A$2:$A$8,$B$2:$B$8,1,2,3,4,$C189, "Chart 1")</f>
        <v>169.05092592592592</v>
      </c>
      <c r="E189">
        <v>176.09953703703701</v>
      </c>
    </row>
    <row r="190" spans="1:5" x14ac:dyDescent="0.25">
      <c r="A190">
        <f t="shared" si="5"/>
        <v>166</v>
      </c>
      <c r="C190" s="2">
        <f t="shared" si="6"/>
        <v>0.84444444444444444</v>
      </c>
      <c r="D190">
        <f t="array" ref="D190:E190">FEvaluate_Bezier($A$2:$A$8,$B$2:$B$8,1,2,3,4,$C190, "Chart 1")</f>
        <v>169.88235939643346</v>
      </c>
      <c r="E190">
        <v>176.30392318244171</v>
      </c>
    </row>
    <row r="191" spans="1:5" x14ac:dyDescent="0.25">
      <c r="A191">
        <f t="shared" si="5"/>
        <v>167</v>
      </c>
      <c r="C191" s="2">
        <f t="shared" si="6"/>
        <v>0.85555555555555551</v>
      </c>
      <c r="D191">
        <f t="array" ref="D191:E191">FEvaluate_Bezier($A$2:$A$8,$B$2:$B$8,1,2,3,4,$C191, "Chart 1")</f>
        <v>170.7005418381344</v>
      </c>
      <c r="E191">
        <v>176.51456447187928</v>
      </c>
    </row>
    <row r="192" spans="1:5" x14ac:dyDescent="0.25">
      <c r="A192">
        <f t="shared" si="5"/>
        <v>168</v>
      </c>
      <c r="C192" s="2">
        <f t="shared" si="6"/>
        <v>0.8666666666666667</v>
      </c>
      <c r="D192">
        <f t="array" ref="D192:E192">FEvaluate_Bezier($A$2:$A$8,$B$2:$B$8,1,2,3,4,$C192, "Chart 1")</f>
        <v>171.50518518518518</v>
      </c>
      <c r="E192">
        <v>176.73185185185184</v>
      </c>
    </row>
    <row r="193" spans="1:5" x14ac:dyDescent="0.25">
      <c r="A193">
        <f t="shared" si="5"/>
        <v>169</v>
      </c>
      <c r="C193" s="2">
        <f t="shared" si="6"/>
        <v>0.87777777777777777</v>
      </c>
      <c r="D193">
        <f t="array" ref="D193:E193">FEvaluate_Bezier($A$2:$A$8,$B$2:$B$8,1,2,3,4,$C193, "Chart 1")</f>
        <v>172.29600137174214</v>
      </c>
      <c r="E193">
        <v>176.95617626886144</v>
      </c>
    </row>
    <row r="194" spans="1:5" x14ac:dyDescent="0.25">
      <c r="A194">
        <f t="shared" si="5"/>
        <v>170</v>
      </c>
      <c r="C194" s="2">
        <f t="shared" si="6"/>
        <v>0.88888888888888884</v>
      </c>
      <c r="D194">
        <f t="array" ref="D194:E194">FEvaluate_Bezier($A$2:$A$8,$B$2:$B$8,1,2,3,4,$C194, "Chart 1")</f>
        <v>173.07270233196158</v>
      </c>
      <c r="E194">
        <v>177.18792866941016</v>
      </c>
    </row>
    <row r="195" spans="1:5" x14ac:dyDescent="0.25">
      <c r="A195">
        <f t="shared" si="5"/>
        <v>171</v>
      </c>
      <c r="C195" s="2">
        <f t="shared" si="6"/>
        <v>0.9</v>
      </c>
      <c r="D195">
        <f t="array" ref="D195:E195">FEvaluate_Bezier($A$2:$A$8,$B$2:$B$8,1,2,3,4,$C195, "Chart 1")</f>
        <v>173.83500000000001</v>
      </c>
      <c r="E195">
        <v>177.42749999999995</v>
      </c>
    </row>
    <row r="196" spans="1:5" x14ac:dyDescent="0.25">
      <c r="A196">
        <f t="shared" si="5"/>
        <v>172</v>
      </c>
      <c r="C196" s="2">
        <f t="shared" si="6"/>
        <v>0.91111111111111109</v>
      </c>
      <c r="D196">
        <f t="array" ref="D196:E196">FEvaluate_Bezier($A$2:$A$8,$B$2:$B$8,1,2,3,4,$C196, "Chart 1")</f>
        <v>174.58260631001369</v>
      </c>
      <c r="E196">
        <v>177.67528120713305</v>
      </c>
    </row>
    <row r="197" spans="1:5" x14ac:dyDescent="0.25">
      <c r="A197">
        <f t="shared" si="5"/>
        <v>173</v>
      </c>
      <c r="C197" s="2">
        <f t="shared" si="6"/>
        <v>0.92222222222222228</v>
      </c>
      <c r="D197">
        <f t="array" ref="D197:E197">FEvaluate_Bezier($A$2:$A$8,$B$2:$B$8,1,2,3,4,$C197, "Chart 1")</f>
        <v>175.31523319615911</v>
      </c>
      <c r="E197">
        <v>177.93166323731134</v>
      </c>
    </row>
    <row r="198" spans="1:5" x14ac:dyDescent="0.25">
      <c r="A198">
        <f t="shared" si="5"/>
        <v>174</v>
      </c>
      <c r="C198" s="2">
        <f t="shared" si="6"/>
        <v>0.93333333333333335</v>
      </c>
      <c r="D198">
        <f t="array" ref="D198:E198">FEvaluate_Bezier($A$2:$A$8,$B$2:$B$8,1,2,3,4,$C198, "Chart 1")</f>
        <v>176.03259259259258</v>
      </c>
      <c r="E198">
        <v>178.19703703703701</v>
      </c>
    </row>
    <row r="199" spans="1:5" x14ac:dyDescent="0.25">
      <c r="A199">
        <f t="shared" si="5"/>
        <v>175</v>
      </c>
      <c r="C199" s="2">
        <f t="shared" si="6"/>
        <v>0.94444444444444442</v>
      </c>
      <c r="D199">
        <f t="array" ref="D199:E199">FEvaluate_Bezier($A$2:$A$8,$B$2:$B$8,1,2,3,4,$C199, "Chart 1")</f>
        <v>176.73439643347049</v>
      </c>
      <c r="E199">
        <v>178.47179355281207</v>
      </c>
    </row>
    <row r="200" spans="1:5" x14ac:dyDescent="0.25">
      <c r="A200">
        <f t="shared" si="5"/>
        <v>176</v>
      </c>
      <c r="C200" s="2">
        <f t="shared" si="6"/>
        <v>0.9555555555555556</v>
      </c>
      <c r="D200">
        <f t="array" ref="D200:E200">FEvaluate_Bezier($A$2:$A$8,$B$2:$B$8,1,2,3,4,$C200, "Chart 1")</f>
        <v>177.42035665294924</v>
      </c>
      <c r="E200">
        <v>178.75632373113854</v>
      </c>
    </row>
    <row r="201" spans="1:5" x14ac:dyDescent="0.25">
      <c r="A201">
        <f t="shared" si="5"/>
        <v>177</v>
      </c>
      <c r="C201" s="2">
        <f t="shared" si="6"/>
        <v>0.96666666666666667</v>
      </c>
      <c r="D201">
        <f t="array" ref="D201:E201">FEvaluate_Bezier($A$2:$A$8,$B$2:$B$8,1,2,3,4,$C201, "Chart 1")</f>
        <v>178.09018518518516</v>
      </c>
      <c r="E201">
        <v>179.0510185185185</v>
      </c>
    </row>
    <row r="202" spans="1:5" x14ac:dyDescent="0.25">
      <c r="A202">
        <f t="shared" si="5"/>
        <v>178</v>
      </c>
      <c r="C202" s="2">
        <f t="shared" si="6"/>
        <v>0.97777777777777775</v>
      </c>
      <c r="D202">
        <f t="array" ref="D202:E202">FEvaluate_Bezier($A$2:$A$8,$B$2:$B$8,1,2,3,4,$C202, "Chart 1")</f>
        <v>178.74359396433471</v>
      </c>
      <c r="E202">
        <v>179.35626886145403</v>
      </c>
    </row>
    <row r="203" spans="1:5" x14ac:dyDescent="0.25">
      <c r="A203">
        <f t="shared" si="5"/>
        <v>179</v>
      </c>
      <c r="C203" s="2">
        <f t="shared" si="6"/>
        <v>0.98888888888888893</v>
      </c>
      <c r="D203">
        <f t="array" ref="D203:E203">FEvaluate_Bezier($A$2:$A$8,$B$2:$B$8,1,2,3,4,$C203, "Chart 1")</f>
        <v>179.38029492455416</v>
      </c>
      <c r="E203">
        <v>179.67246570644718</v>
      </c>
    </row>
    <row r="204" spans="1:5" x14ac:dyDescent="0.25">
      <c r="A204" s="3">
        <f>A203+1</f>
        <v>180</v>
      </c>
      <c r="B204" s="3">
        <f>$B$4</f>
        <v>180</v>
      </c>
      <c r="C204" s="4">
        <v>0</v>
      </c>
      <c r="D204" s="3">
        <f>$A$204</f>
        <v>180</v>
      </c>
      <c r="E204" s="3">
        <f>$B$4</f>
        <v>180</v>
      </c>
    </row>
    <row r="205" spans="1:5" x14ac:dyDescent="0.25">
      <c r="A205">
        <f t="shared" si="5"/>
        <v>181</v>
      </c>
      <c r="C205" s="2">
        <f>(ROW(C205)-ROW($C$204))/(ROW($C$224)-ROW($C$204))</f>
        <v>0.05</v>
      </c>
      <c r="D205">
        <f t="array" ref="D205:E205">FEvaluate_Bezier($A$2:$A$8,$B$2:$B$8,2,3,4,5,$C205, "Chart 1")</f>
        <v>181.80486158388831</v>
      </c>
      <c r="E205">
        <v>181.11625432103224</v>
      </c>
    </row>
    <row r="206" spans="1:5" x14ac:dyDescent="0.25">
      <c r="A206">
        <f t="shared" si="5"/>
        <v>182</v>
      </c>
      <c r="C206" s="2">
        <f t="shared" ref="C206:C225" si="7">(ROW(C206)-ROW($C$204))/(ROW($C$224)-ROW($C$204))</f>
        <v>0.1</v>
      </c>
      <c r="D206">
        <f t="array" ref="D206:E206">FEvaluate_Bezier($A$2:$A$8,$B$2:$B$8,2,3,4,5,$C206, "Chart 1")</f>
        <v>183.47487887902346</v>
      </c>
      <c r="E206">
        <v>182.40482971400203</v>
      </c>
    </row>
    <row r="207" spans="1:5" x14ac:dyDescent="0.25">
      <c r="A207">
        <f t="shared" si="5"/>
        <v>183</v>
      </c>
      <c r="C207" s="2">
        <f t="shared" si="7"/>
        <v>0.15</v>
      </c>
      <c r="D207">
        <f t="array" ref="D207:E207">FEvaluate_Bezier($A$2:$A$8,$B$2:$B$8,2,3,4,5,$C207, "Chart 1")</f>
        <v>185.01840555486612</v>
      </c>
      <c r="E207">
        <v>183.84373838058602</v>
      </c>
    </row>
    <row r="208" spans="1:5" x14ac:dyDescent="0.25">
      <c r="A208">
        <f t="shared" si="5"/>
        <v>184</v>
      </c>
      <c r="C208" s="2">
        <f t="shared" si="7"/>
        <v>0.2</v>
      </c>
      <c r="D208">
        <f t="array" ref="D208:E208">FEvaluate_Bezier($A$2:$A$8,$B$2:$B$8,2,3,4,5,$C208, "Chart 1")</f>
        <v>186.44379528087725</v>
      </c>
      <c r="E208">
        <v>185.4109925224605</v>
      </c>
    </row>
    <row r="209" spans="1:5" x14ac:dyDescent="0.25">
      <c r="A209">
        <f t="shared" si="5"/>
        <v>185</v>
      </c>
      <c r="C209" s="2">
        <f t="shared" si="7"/>
        <v>0.25</v>
      </c>
      <c r="D209">
        <f t="array" ref="D209:E209">FEvaluate_Bezier($A$2:$A$8,$B$2:$B$8,2,3,4,5,$C209, "Chart 1")</f>
        <v>187.75940172651758</v>
      </c>
      <c r="E209">
        <v>187.08460434130217</v>
      </c>
    </row>
    <row r="210" spans="1:5" x14ac:dyDescent="0.25">
      <c r="A210">
        <f t="shared" si="5"/>
        <v>186</v>
      </c>
      <c r="C210" s="2">
        <f t="shared" si="7"/>
        <v>0.3</v>
      </c>
      <c r="D210">
        <f t="array" ref="D210:E210">FEvaluate_Bezier($A$2:$A$8,$B$2:$B$8,2,3,4,5,$C210, "Chart 1")</f>
        <v>188.97357856124793</v>
      </c>
      <c r="E210">
        <v>188.84258603878746</v>
      </c>
    </row>
    <row r="211" spans="1:5" x14ac:dyDescent="0.25">
      <c r="A211">
        <f t="shared" si="5"/>
        <v>187</v>
      </c>
      <c r="C211" s="2">
        <f t="shared" si="7"/>
        <v>0.35</v>
      </c>
      <c r="D211">
        <f t="array" ref="D211:E211">FEvaluate_Bezier($A$2:$A$8,$B$2:$B$8,2,3,4,5,$C211, "Chart 1")</f>
        <v>190.09467945452931</v>
      </c>
      <c r="E211">
        <v>190.6629498165928</v>
      </c>
    </row>
    <row r="212" spans="1:5" x14ac:dyDescent="0.25">
      <c r="A212">
        <f t="shared" si="5"/>
        <v>188</v>
      </c>
      <c r="C212" s="2">
        <f t="shared" si="7"/>
        <v>0.4</v>
      </c>
      <c r="D212">
        <f t="array" ref="D212:E212">FEvaluate_Bezier($A$2:$A$8,$B$2:$B$8,2,3,4,5,$C212, "Chart 1")</f>
        <v>191.13105807582244</v>
      </c>
      <c r="E212">
        <v>192.52370787639475</v>
      </c>
    </row>
    <row r="213" spans="1:5" x14ac:dyDescent="0.25">
      <c r="A213">
        <f t="shared" si="5"/>
        <v>189</v>
      </c>
      <c r="C213" s="2">
        <f t="shared" si="7"/>
        <v>0.45</v>
      </c>
      <c r="D213">
        <f t="array" ref="D213:E213">FEvaluate_Bezier($A$2:$A$8,$B$2:$B$8,2,3,4,5,$C213, "Chart 1")</f>
        <v>192.09106809458811</v>
      </c>
      <c r="E213">
        <v>194.40287241986979</v>
      </c>
    </row>
    <row r="214" spans="1:5" x14ac:dyDescent="0.25">
      <c r="A214">
        <f t="shared" si="5"/>
        <v>190</v>
      </c>
      <c r="C214" s="2">
        <f t="shared" si="7"/>
        <v>0.5</v>
      </c>
      <c r="D214">
        <f t="array" ref="D214:E214">FEvaluate_Bezier($A$2:$A$8,$B$2:$B$8,2,3,4,5,$C214, "Chart 1")</f>
        <v>192.98306318028716</v>
      </c>
      <c r="E214">
        <v>196.27845564869452</v>
      </c>
    </row>
    <row r="215" spans="1:5" x14ac:dyDescent="0.25">
      <c r="A215">
        <f t="shared" si="5"/>
        <v>191</v>
      </c>
      <c r="C215" s="2">
        <f t="shared" si="7"/>
        <v>0.55000000000000004</v>
      </c>
      <c r="D215">
        <f t="array" ref="D215:E215">FEvaluate_Bezier($A$2:$A$8,$B$2:$B$8,2,3,4,5,$C215, "Chart 1")</f>
        <v>193.81539700238054</v>
      </c>
      <c r="E215">
        <v>198.12846976454529</v>
      </c>
    </row>
    <row r="216" spans="1:5" x14ac:dyDescent="0.25">
      <c r="A216">
        <f t="shared" si="5"/>
        <v>192</v>
      </c>
      <c r="C216" s="2">
        <f t="shared" si="7"/>
        <v>0.6</v>
      </c>
      <c r="D216">
        <f t="array" ref="D216:E216">FEvaluate_Bezier($A$2:$A$8,$B$2:$B$8,2,3,4,5,$C216, "Chart 1")</f>
        <v>194.59642323032898</v>
      </c>
      <c r="E216">
        <v>199.93092696909866</v>
      </c>
    </row>
    <row r="217" spans="1:5" x14ac:dyDescent="0.25">
      <c r="A217">
        <f t="shared" si="5"/>
        <v>193</v>
      </c>
      <c r="C217" s="2">
        <f t="shared" si="7"/>
        <v>0.65</v>
      </c>
      <c r="D217">
        <f t="array" ref="D217:E217">FEvaluate_Bezier($A$2:$A$8,$B$2:$B$8,2,3,4,5,$C217, "Chart 1")</f>
        <v>195.33449553359333</v>
      </c>
      <c r="E217">
        <v>201.66383946403118</v>
      </c>
    </row>
    <row r="218" spans="1:5" x14ac:dyDescent="0.25">
      <c r="A218">
        <f t="shared" ref="A218:A281" si="8">A217+1</f>
        <v>194</v>
      </c>
      <c r="C218" s="2">
        <f t="shared" si="7"/>
        <v>0.7</v>
      </c>
      <c r="D218">
        <f t="array" ref="D218:E218">FEvaluate_Bezier($A$2:$A$8,$B$2:$B$8,2,3,4,5,$C218, "Chart 1")</f>
        <v>196.03796758163446</v>
      </c>
      <c r="E218">
        <v>203.30521945101933</v>
      </c>
    </row>
    <row r="219" spans="1:5" x14ac:dyDescent="0.25">
      <c r="A219">
        <f t="shared" si="8"/>
        <v>195</v>
      </c>
      <c r="C219" s="2">
        <f t="shared" si="7"/>
        <v>0.75</v>
      </c>
      <c r="D219">
        <f t="array" ref="D219:E219">FEvaluate_Bezier($A$2:$A$8,$B$2:$B$8,2,3,4,5,$C219, "Chart 1")</f>
        <v>196.71519304391316</v>
      </c>
      <c r="E219">
        <v>204.83307913173957</v>
      </c>
    </row>
    <row r="220" spans="1:5" x14ac:dyDescent="0.25">
      <c r="A220">
        <f t="shared" si="8"/>
        <v>196</v>
      </c>
      <c r="C220" s="2">
        <f t="shared" si="7"/>
        <v>0.8</v>
      </c>
      <c r="D220">
        <f t="array" ref="D220:E220">FEvaluate_Bezier($A$2:$A$8,$B$2:$B$8,2,3,4,5,$C220, "Chart 1")</f>
        <v>197.37452558989034</v>
      </c>
      <c r="E220">
        <v>206.22543070786841</v>
      </c>
    </row>
    <row r="221" spans="1:5" x14ac:dyDescent="0.25">
      <c r="A221">
        <f t="shared" si="8"/>
        <v>197</v>
      </c>
      <c r="C221" s="2">
        <f t="shared" si="7"/>
        <v>0.85</v>
      </c>
      <c r="D221">
        <f t="array" ref="D221:E221">FEvaluate_Bezier($A$2:$A$8,$B$2:$B$8,2,3,4,5,$C221, "Chart 1")</f>
        <v>198.02431888902674</v>
      </c>
      <c r="E221">
        <v>207.46028638108237</v>
      </c>
    </row>
    <row r="222" spans="1:5" x14ac:dyDescent="0.25">
      <c r="A222">
        <f t="shared" si="8"/>
        <v>198</v>
      </c>
      <c r="C222" s="2">
        <f t="shared" si="7"/>
        <v>0.9</v>
      </c>
      <c r="D222">
        <f t="array" ref="D222:E222">FEvaluate_Bezier($A$2:$A$8,$B$2:$B$8,2,3,4,5,$C222, "Chart 1")</f>
        <v>198.67292661078332</v>
      </c>
      <c r="E222">
        <v>208.51565835305797</v>
      </c>
    </row>
    <row r="223" spans="1:5" x14ac:dyDescent="0.25">
      <c r="A223">
        <f t="shared" si="8"/>
        <v>199</v>
      </c>
      <c r="C223" s="2">
        <f t="shared" si="7"/>
        <v>0.95</v>
      </c>
      <c r="D223">
        <f t="array" ref="D223:E223">FEvaluate_Bezier($A$2:$A$8,$B$2:$B$8,2,3,4,5,$C223, "Chart 1")</f>
        <v>199.32870242462079</v>
      </c>
      <c r="E223">
        <v>209.36955882547167</v>
      </c>
    </row>
    <row r="224" spans="1:5" x14ac:dyDescent="0.25">
      <c r="A224" s="3">
        <f t="shared" si="8"/>
        <v>200</v>
      </c>
      <c r="B224" s="3">
        <f>$B$5</f>
        <v>210</v>
      </c>
      <c r="C224" s="4">
        <v>0</v>
      </c>
      <c r="D224" s="3">
        <f>$A$224</f>
        <v>200</v>
      </c>
      <c r="E224" s="3">
        <f>$B$5</f>
        <v>210</v>
      </c>
    </row>
    <row r="225" spans="1:5" x14ac:dyDescent="0.25">
      <c r="A225">
        <f t="shared" si="8"/>
        <v>201</v>
      </c>
      <c r="C225" s="2">
        <f>(ROW(C225)-ROW($C$224))/(ROW($C$244)-ROW($C$224))</f>
        <v>0.05</v>
      </c>
      <c r="D225">
        <f t="array" ref="D225:E225">FEvaluate_Bezier($A$2:$A$8,$B$2:$B$8,3,4,5,6,$C225, "Chart 1")</f>
        <v>200.99999999999997</v>
      </c>
      <c r="E225">
        <v>210.71250000000001</v>
      </c>
    </row>
    <row r="226" spans="1:5" x14ac:dyDescent="0.25">
      <c r="A226">
        <f t="shared" si="8"/>
        <v>202</v>
      </c>
      <c r="C226" s="2">
        <f t="shared" ref="C226:C245" si="9">(ROW(C226)-ROW($C$224))/(ROW($C$244)-ROW($C$224))</f>
        <v>0.1</v>
      </c>
      <c r="D226">
        <f t="array" ref="D226:E226">FEvaluate_Bezier($A$2:$A$8,$B$2:$B$8,3,4,5,6,$C226, "Chart 1")</f>
        <v>202.00000000000003</v>
      </c>
      <c r="E226">
        <v>211.35</v>
      </c>
    </row>
    <row r="227" spans="1:5" x14ac:dyDescent="0.25">
      <c r="A227">
        <f t="shared" si="8"/>
        <v>203</v>
      </c>
      <c r="C227" s="2">
        <f t="shared" si="9"/>
        <v>0.15</v>
      </c>
      <c r="D227">
        <f t="array" ref="D227:E227">FEvaluate_Bezier($A$2:$A$8,$B$2:$B$8,3,4,5,6,$C227, "Chart 1")</f>
        <v>203</v>
      </c>
      <c r="E227">
        <v>211.91249999999999</v>
      </c>
    </row>
    <row r="228" spans="1:5" x14ac:dyDescent="0.25">
      <c r="A228">
        <f t="shared" si="8"/>
        <v>204</v>
      </c>
      <c r="C228" s="2">
        <f t="shared" si="9"/>
        <v>0.2</v>
      </c>
      <c r="D228">
        <f t="array" ref="D228:E228">FEvaluate_Bezier($A$2:$A$8,$B$2:$B$8,3,4,5,6,$C228, "Chart 1")</f>
        <v>204.00000000000006</v>
      </c>
      <c r="E228">
        <v>212.39999999999998</v>
      </c>
    </row>
    <row r="229" spans="1:5" x14ac:dyDescent="0.25">
      <c r="A229">
        <f t="shared" si="8"/>
        <v>205</v>
      </c>
      <c r="C229" s="2">
        <f t="shared" si="9"/>
        <v>0.25</v>
      </c>
      <c r="D229">
        <f t="array" ref="D229:E229">FEvaluate_Bezier($A$2:$A$8,$B$2:$B$8,3,4,5,6,$C229, "Chart 1")</f>
        <v>205</v>
      </c>
      <c r="E229">
        <v>212.8125</v>
      </c>
    </row>
    <row r="230" spans="1:5" x14ac:dyDescent="0.25">
      <c r="A230">
        <f t="shared" si="8"/>
        <v>206</v>
      </c>
      <c r="C230" s="2">
        <f t="shared" si="9"/>
        <v>0.3</v>
      </c>
      <c r="D230">
        <f t="array" ref="D230:E230">FEvaluate_Bezier($A$2:$A$8,$B$2:$B$8,3,4,5,6,$C230, "Chart 1")</f>
        <v>205.99999999999997</v>
      </c>
      <c r="E230">
        <v>213.15</v>
      </c>
    </row>
    <row r="231" spans="1:5" x14ac:dyDescent="0.25">
      <c r="A231">
        <f t="shared" si="8"/>
        <v>207</v>
      </c>
      <c r="C231" s="2">
        <f t="shared" si="9"/>
        <v>0.35</v>
      </c>
      <c r="D231">
        <f t="array" ref="D231:E231">FEvaluate_Bezier($A$2:$A$8,$B$2:$B$8,3,4,5,6,$C231, "Chart 1")</f>
        <v>206.99999999999997</v>
      </c>
      <c r="E231">
        <v>213.41249999999999</v>
      </c>
    </row>
    <row r="232" spans="1:5" x14ac:dyDescent="0.25">
      <c r="A232">
        <f t="shared" si="8"/>
        <v>208</v>
      </c>
      <c r="C232" s="2">
        <f t="shared" si="9"/>
        <v>0.4</v>
      </c>
      <c r="D232">
        <f t="array" ref="D232:E232">FEvaluate_Bezier($A$2:$A$8,$B$2:$B$8,3,4,5,6,$C232, "Chart 1")</f>
        <v>208</v>
      </c>
      <c r="E232">
        <v>213.6</v>
      </c>
    </row>
    <row r="233" spans="1:5" x14ac:dyDescent="0.25">
      <c r="A233">
        <f t="shared" si="8"/>
        <v>209</v>
      </c>
      <c r="C233" s="2">
        <f t="shared" si="9"/>
        <v>0.45</v>
      </c>
      <c r="D233">
        <f t="array" ref="D233:E233">FEvaluate_Bezier($A$2:$A$8,$B$2:$B$8,3,4,5,6,$C233, "Chart 1")</f>
        <v>209.00000000000003</v>
      </c>
      <c r="E233">
        <v>213.71249999999998</v>
      </c>
    </row>
    <row r="234" spans="1:5" x14ac:dyDescent="0.25">
      <c r="A234">
        <f t="shared" si="8"/>
        <v>210</v>
      </c>
      <c r="C234" s="2">
        <f t="shared" si="9"/>
        <v>0.5</v>
      </c>
      <c r="D234">
        <f t="array" ref="D234:E234">FEvaluate_Bezier($A$2:$A$8,$B$2:$B$8,3,4,5,6,$C234, "Chart 1")</f>
        <v>210</v>
      </c>
      <c r="E234">
        <v>213.75</v>
      </c>
    </row>
    <row r="235" spans="1:5" x14ac:dyDescent="0.25">
      <c r="A235">
        <f t="shared" si="8"/>
        <v>211</v>
      </c>
      <c r="C235" s="2">
        <f t="shared" si="9"/>
        <v>0.55000000000000004</v>
      </c>
      <c r="D235">
        <f t="array" ref="D235:E235">FEvaluate_Bezier($A$2:$A$8,$B$2:$B$8,3,4,5,6,$C235, "Chart 1")</f>
        <v>211</v>
      </c>
      <c r="E235">
        <v>213.71250000000001</v>
      </c>
    </row>
    <row r="236" spans="1:5" x14ac:dyDescent="0.25">
      <c r="A236">
        <f t="shared" si="8"/>
        <v>212</v>
      </c>
      <c r="C236" s="2">
        <f t="shared" si="9"/>
        <v>0.6</v>
      </c>
      <c r="D236">
        <f t="array" ref="D236:E236">FEvaluate_Bezier($A$2:$A$8,$B$2:$B$8,3,4,5,6,$C236, "Chart 1")</f>
        <v>212</v>
      </c>
      <c r="E236">
        <v>213.6</v>
      </c>
    </row>
    <row r="237" spans="1:5" x14ac:dyDescent="0.25">
      <c r="A237">
        <f t="shared" si="8"/>
        <v>213</v>
      </c>
      <c r="C237" s="2">
        <f t="shared" si="9"/>
        <v>0.65</v>
      </c>
      <c r="D237">
        <f t="array" ref="D237:E237">FEvaluate_Bezier($A$2:$A$8,$B$2:$B$8,3,4,5,6,$C237, "Chart 1")</f>
        <v>212.99999999999994</v>
      </c>
      <c r="E237">
        <v>213.41249999999999</v>
      </c>
    </row>
    <row r="238" spans="1:5" x14ac:dyDescent="0.25">
      <c r="A238">
        <f t="shared" si="8"/>
        <v>214</v>
      </c>
      <c r="C238" s="2">
        <f t="shared" si="9"/>
        <v>0.7</v>
      </c>
      <c r="D238">
        <f t="array" ref="D238:E238">FEvaluate_Bezier($A$2:$A$8,$B$2:$B$8,3,4,5,6,$C238, "Chart 1")</f>
        <v>213.99999999999997</v>
      </c>
      <c r="E238">
        <v>213.15</v>
      </c>
    </row>
    <row r="239" spans="1:5" x14ac:dyDescent="0.25">
      <c r="A239">
        <f t="shared" si="8"/>
        <v>215</v>
      </c>
      <c r="C239" s="2">
        <f t="shared" si="9"/>
        <v>0.75</v>
      </c>
      <c r="D239">
        <f t="array" ref="D239:E239">FEvaluate_Bezier($A$2:$A$8,$B$2:$B$8,3,4,5,6,$C239, "Chart 1")</f>
        <v>214.99999999999997</v>
      </c>
      <c r="E239">
        <v>212.8125</v>
      </c>
    </row>
    <row r="240" spans="1:5" x14ac:dyDescent="0.25">
      <c r="A240">
        <f t="shared" si="8"/>
        <v>216</v>
      </c>
      <c r="C240" s="2">
        <f t="shared" si="9"/>
        <v>0.8</v>
      </c>
      <c r="D240">
        <f t="array" ref="D240:E240">FEvaluate_Bezier($A$2:$A$8,$B$2:$B$8,3,4,5,6,$C240, "Chart 1")</f>
        <v>216</v>
      </c>
      <c r="E240">
        <v>212.4</v>
      </c>
    </row>
    <row r="241" spans="1:5" x14ac:dyDescent="0.25">
      <c r="A241">
        <f t="shared" si="8"/>
        <v>217</v>
      </c>
      <c r="C241" s="2">
        <f t="shared" si="9"/>
        <v>0.85</v>
      </c>
      <c r="D241">
        <f t="array" ref="D241:E241">FEvaluate_Bezier($A$2:$A$8,$B$2:$B$8,3,4,5,6,$C241, "Chart 1")</f>
        <v>216.99999999999994</v>
      </c>
      <c r="E241">
        <v>211.91249999999999</v>
      </c>
    </row>
    <row r="242" spans="1:5" x14ac:dyDescent="0.25">
      <c r="A242">
        <f t="shared" si="8"/>
        <v>218</v>
      </c>
      <c r="C242" s="2">
        <f t="shared" si="9"/>
        <v>0.9</v>
      </c>
      <c r="D242">
        <f t="array" ref="D242:E242">FEvaluate_Bezier($A$2:$A$8,$B$2:$B$8,3,4,5,6,$C242, "Chart 1")</f>
        <v>217.99999999999997</v>
      </c>
      <c r="E242">
        <v>211.35</v>
      </c>
    </row>
    <row r="243" spans="1:5" x14ac:dyDescent="0.25">
      <c r="A243">
        <f t="shared" si="8"/>
        <v>219</v>
      </c>
      <c r="C243" s="2">
        <f t="shared" si="9"/>
        <v>0.95</v>
      </c>
      <c r="D243">
        <f t="array" ref="D243:E243">FEvaluate_Bezier($A$2:$A$8,$B$2:$B$8,3,4,5,6,$C243, "Chart 1")</f>
        <v>218.99999999999997</v>
      </c>
      <c r="E243">
        <v>210.71250000000001</v>
      </c>
    </row>
    <row r="244" spans="1:5" x14ac:dyDescent="0.25">
      <c r="A244" s="3">
        <f t="shared" si="8"/>
        <v>220</v>
      </c>
      <c r="B244" s="3">
        <f>$B$6</f>
        <v>210</v>
      </c>
      <c r="C244" s="4">
        <v>0</v>
      </c>
      <c r="D244" s="3">
        <f>$A$244</f>
        <v>220</v>
      </c>
      <c r="E244" s="3">
        <f>$B$6</f>
        <v>210</v>
      </c>
    </row>
    <row r="245" spans="1:5" x14ac:dyDescent="0.25">
      <c r="A245">
        <f t="shared" si="8"/>
        <v>221</v>
      </c>
      <c r="C245" s="2">
        <f>(ROW(C245)-ROW($C$244))/(ROW($C$264)-ROW($C$244))</f>
        <v>0.05</v>
      </c>
      <c r="D245">
        <f t="array" ref="D245:E245">FEvaluate_Bezier($A$2:$A$8,$B$2:$B$8,4,5,6,7,$C245, "Chart 1")</f>
        <v>220.71874849973491</v>
      </c>
      <c r="E245">
        <v>209.47138285577751</v>
      </c>
    </row>
    <row r="246" spans="1:5" x14ac:dyDescent="0.25">
      <c r="A246">
        <f t="shared" si="8"/>
        <v>222</v>
      </c>
      <c r="C246" s="2">
        <f t="shared" ref="C246:C263" si="10">(ROW(C246)-ROW($C$244))/(ROW($C$264)-ROW($C$244))</f>
        <v>0.1</v>
      </c>
      <c r="D246">
        <f t="array" ref="D246:E246">FEvaluate_Bezier($A$2:$A$8,$B$2:$B$8,4,5,6,7,$C246, "Chart 1")</f>
        <v>221.50930070526942</v>
      </c>
      <c r="E246">
        <v>208.89970787113577</v>
      </c>
    </row>
    <row r="247" spans="1:5" x14ac:dyDescent="0.25">
      <c r="A247">
        <f t="shared" si="8"/>
        <v>223</v>
      </c>
      <c r="C247" s="2">
        <f t="shared" si="10"/>
        <v>0.15</v>
      </c>
      <c r="D247">
        <f t="array" ref="D247:E247">FEvaluate_Bezier($A$2:$A$8,$B$2:$B$8,4,5,6,7,$C247, "Chart 1")</f>
        <v>222.36462356915021</v>
      </c>
      <c r="E247">
        <v>208.27510954832405</v>
      </c>
    </row>
    <row r="248" spans="1:5" x14ac:dyDescent="0.25">
      <c r="A248">
        <f t="shared" si="8"/>
        <v>224</v>
      </c>
      <c r="C248" s="2">
        <f t="shared" si="10"/>
        <v>0.2</v>
      </c>
      <c r="D248">
        <f t="array" ref="D248:E248">FEvaluate_Bezier($A$2:$A$8,$B$2:$B$8,4,5,6,7,$C248, "Chart 1")</f>
        <v>223.27768404392424</v>
      </c>
      <c r="E248">
        <v>207.58772238959153</v>
      </c>
    </row>
    <row r="249" spans="1:5" x14ac:dyDescent="0.25">
      <c r="A249">
        <f t="shared" si="8"/>
        <v>225</v>
      </c>
      <c r="C249" s="2">
        <f t="shared" si="10"/>
        <v>0.25</v>
      </c>
      <c r="D249">
        <f t="array" ref="D249:E249">FEvaluate_Bezier($A$2:$A$8,$B$2:$B$8,4,5,6,7,$C249, "Chart 1")</f>
        <v>224.2414490821381</v>
      </c>
      <c r="E249">
        <v>206.82768089718746</v>
      </c>
    </row>
    <row r="250" spans="1:5" x14ac:dyDescent="0.25">
      <c r="A250">
        <f t="shared" si="8"/>
        <v>226</v>
      </c>
      <c r="C250" s="2">
        <f t="shared" si="10"/>
        <v>0.3</v>
      </c>
      <c r="D250">
        <f t="array" ref="D250:E250">FEvaluate_Bezier($A$2:$A$8,$B$2:$B$8,4,5,6,7,$C250, "Chart 1")</f>
        <v>225.24888563633888</v>
      </c>
      <c r="E250">
        <v>205.98511957336098</v>
      </c>
    </row>
    <row r="251" spans="1:5" x14ac:dyDescent="0.25">
      <c r="A251">
        <f t="shared" si="8"/>
        <v>227</v>
      </c>
      <c r="C251" s="2">
        <f t="shared" si="10"/>
        <v>0.35</v>
      </c>
      <c r="D251">
        <f t="array" ref="D251:E251">FEvaluate_Bezier($A$2:$A$8,$B$2:$B$8,4,5,6,7,$C251, "Chart 1")</f>
        <v>226.29296065907337</v>
      </c>
      <c r="E251">
        <v>205.05017292036135</v>
      </c>
    </row>
    <row r="252" spans="1:5" x14ac:dyDescent="0.25">
      <c r="A252">
        <f t="shared" si="8"/>
        <v>228</v>
      </c>
      <c r="C252" s="2">
        <f t="shared" si="10"/>
        <v>0.4</v>
      </c>
      <c r="D252">
        <f t="array" ref="D252:E252">FEvaluate_Bezier($A$2:$A$8,$B$2:$B$8,4,5,6,7,$C252, "Chart 1")</f>
        <v>227.36664110288842</v>
      </c>
      <c r="E252">
        <v>204.01297544043774</v>
      </c>
    </row>
    <row r="253" spans="1:5" x14ac:dyDescent="0.25">
      <c r="A253">
        <f t="shared" si="8"/>
        <v>229</v>
      </c>
      <c r="C253" s="2">
        <f t="shared" si="10"/>
        <v>0.45</v>
      </c>
      <c r="D253">
        <f t="array" ref="D253:E253">FEvaluate_Bezier($A$2:$A$8,$B$2:$B$8,4,5,6,7,$C253, "Chart 1")</f>
        <v>228.46289392033086</v>
      </c>
      <c r="E253">
        <v>202.86366163583941</v>
      </c>
    </row>
    <row r="254" spans="1:5" x14ac:dyDescent="0.25">
      <c r="A254">
        <f t="shared" si="8"/>
        <v>230</v>
      </c>
      <c r="C254" s="2">
        <f t="shared" si="10"/>
        <v>0.5</v>
      </c>
      <c r="D254">
        <f t="array" ref="D254:E254">FEvaluate_Bezier($A$2:$A$8,$B$2:$B$8,4,5,6,7,$C254, "Chart 1")</f>
        <v>229.57468606394741</v>
      </c>
      <c r="E254">
        <v>201.59236600881559</v>
      </c>
    </row>
    <row r="255" spans="1:5" x14ac:dyDescent="0.25">
      <c r="A255">
        <f t="shared" si="8"/>
        <v>231</v>
      </c>
      <c r="C255" s="2">
        <f t="shared" si="10"/>
        <v>0.55000000000000004</v>
      </c>
      <c r="D255">
        <f t="array" ref="D255:E255">FEvaluate_Bezier($A$2:$A$8,$B$2:$B$8,4,5,6,7,$C255, "Chart 1")</f>
        <v>230.69498448628502</v>
      </c>
      <c r="E255">
        <v>200.18922306161539</v>
      </c>
    </row>
    <row r="256" spans="1:5" x14ac:dyDescent="0.25">
      <c r="A256">
        <f t="shared" si="8"/>
        <v>232</v>
      </c>
      <c r="C256" s="2">
        <f t="shared" si="10"/>
        <v>0.6</v>
      </c>
      <c r="D256">
        <f t="array" ref="D256:E256">FEvaluate_Bezier($A$2:$A$8,$B$2:$B$8,4,5,6,7,$C256, "Chart 1")</f>
        <v>231.81675613989054</v>
      </c>
      <c r="E256">
        <v>198.64436729648816</v>
      </c>
    </row>
    <row r="257" spans="1:5" x14ac:dyDescent="0.25">
      <c r="A257">
        <f t="shared" si="8"/>
        <v>233</v>
      </c>
      <c r="C257" s="2">
        <f t="shared" si="10"/>
        <v>0.65</v>
      </c>
      <c r="D257">
        <f t="array" ref="D257:E257">FEvaluate_Bezier($A$2:$A$8,$B$2:$B$8,4,5,6,7,$C257, "Chart 1")</f>
        <v>232.93296797731085</v>
      </c>
      <c r="E257">
        <v>196.94793321568301</v>
      </c>
    </row>
    <row r="258" spans="1:5" x14ac:dyDescent="0.25">
      <c r="A258">
        <f t="shared" si="8"/>
        <v>234</v>
      </c>
      <c r="C258" s="2">
        <f t="shared" si="10"/>
        <v>0.7</v>
      </c>
      <c r="D258">
        <f t="array" ref="D258:E258">FEvaluate_Bezier($A$2:$A$8,$B$2:$B$8,4,5,6,7,$C258, "Chart 1")</f>
        <v>234.03658695109269</v>
      </c>
      <c r="E258">
        <v>195.0900553214492</v>
      </c>
    </row>
    <row r="259" spans="1:5" x14ac:dyDescent="0.25">
      <c r="A259">
        <f t="shared" si="8"/>
        <v>235</v>
      </c>
      <c r="C259" s="2">
        <f t="shared" si="10"/>
        <v>0.75</v>
      </c>
      <c r="D259">
        <f t="array" ref="D259:E259">FEvaluate_Bezier($A$2:$A$8,$B$2:$B$8,4,5,6,7,$C259, "Chart 1")</f>
        <v>235.12058001378296</v>
      </c>
      <c r="E259">
        <v>193.06086811603589</v>
      </c>
    </row>
    <row r="260" spans="1:5" x14ac:dyDescent="0.25">
      <c r="A260">
        <f t="shared" si="8"/>
        <v>236</v>
      </c>
      <c r="C260" s="2">
        <f t="shared" si="10"/>
        <v>0.8</v>
      </c>
      <c r="D260">
        <f t="array" ref="D260:E260">FEvaluate_Bezier($A$2:$A$8,$B$2:$B$8,4,5,6,7,$C260, "Chart 1")</f>
        <v>236.17791411792851</v>
      </c>
      <c r="E260">
        <v>190.85050610169239</v>
      </c>
    </row>
    <row r="261" spans="1:5" x14ac:dyDescent="0.25">
      <c r="A261">
        <f t="shared" si="8"/>
        <v>237</v>
      </c>
      <c r="C261" s="2">
        <f t="shared" si="10"/>
        <v>0.85</v>
      </c>
      <c r="D261">
        <f t="array" ref="D261:E261">FEvaluate_Bezier($A$2:$A$8,$B$2:$B$8,4,5,6,7,$C261, "Chart 1")</f>
        <v>237.20155621607609</v>
      </c>
      <c r="E261">
        <v>188.44910378066783</v>
      </c>
    </row>
    <row r="262" spans="1:5" x14ac:dyDescent="0.25">
      <c r="A262">
        <f t="shared" si="8"/>
        <v>238</v>
      </c>
      <c r="C262" s="2">
        <f t="shared" si="10"/>
        <v>0.9</v>
      </c>
      <c r="D262">
        <f t="array" ref="D262:E262">FEvaluate_Bezier($A$2:$A$8,$B$2:$B$8,4,5,6,7,$C262, "Chart 1")</f>
        <v>238.18447326077271</v>
      </c>
      <c r="E262">
        <v>185.84679565521142</v>
      </c>
    </row>
    <row r="263" spans="1:5" x14ac:dyDescent="0.25">
      <c r="A263">
        <f t="shared" si="8"/>
        <v>239</v>
      </c>
      <c r="C263" s="2">
        <f t="shared" si="10"/>
        <v>0.95</v>
      </c>
      <c r="D263">
        <f t="array" ref="D263:E263">FEvaluate_Bezier($A$2:$A$8,$B$2:$B$8,4,5,6,7,$C263, "Chart 1")</f>
        <v>239.11963220456502</v>
      </c>
      <c r="E263">
        <v>183.03371622757243</v>
      </c>
    </row>
    <row r="264" spans="1:5" x14ac:dyDescent="0.25">
      <c r="A264" s="3">
        <f t="shared" si="8"/>
        <v>240</v>
      </c>
      <c r="B264" s="3">
        <f>$B$7</f>
        <v>180</v>
      </c>
      <c r="C264" s="4">
        <v>0</v>
      </c>
      <c r="D264" s="3">
        <f>$A$264</f>
        <v>240</v>
      </c>
      <c r="E264" s="3">
        <f>$B$7</f>
        <v>180</v>
      </c>
    </row>
    <row r="265" spans="1:5" x14ac:dyDescent="0.25">
      <c r="A265" s="5">
        <f t="shared" si="8"/>
        <v>241</v>
      </c>
      <c r="B265" s="5"/>
      <c r="C265" s="2">
        <f>(ROW(C265)-ROW($C$264))/(ROW($C$294)-ROW($C$264))</f>
        <v>3.3333333333333333E-2</v>
      </c>
      <c r="D265">
        <f t="array" ref="D265:E265">FEvaluate_Bezier($A$2:$A$8,$B$2:$B$8,5,6,7,7,$C265, "Chart 1")</f>
        <v>240.84425925925927</v>
      </c>
      <c r="E265">
        <v>176.78009259259258</v>
      </c>
    </row>
    <row r="266" spans="1:5" x14ac:dyDescent="0.25">
      <c r="A266">
        <f t="shared" si="8"/>
        <v>242</v>
      </c>
      <c r="C266" s="2">
        <f t="shared" ref="C266:C293" si="11">(ROW(C266)-ROW($C$264))/(ROW($C$294)-ROW($C$264))</f>
        <v>6.6666666666666666E-2</v>
      </c>
      <c r="D266">
        <f t="array" ref="D266:E266">FEvaluate_Bezier($A$2:$A$8,$B$2:$B$8,5,6,7,7,$C266, "Chart 1")</f>
        <v>241.70962962962966</v>
      </c>
      <c r="E266">
        <v>173.29629629629628</v>
      </c>
    </row>
    <row r="267" spans="1:5" x14ac:dyDescent="0.25">
      <c r="A267">
        <f t="shared" si="8"/>
        <v>243</v>
      </c>
      <c r="C267" s="2">
        <f t="shared" si="11"/>
        <v>0.1</v>
      </c>
      <c r="D267">
        <f t="array" ref="D267:E267">FEvaluate_Bezier($A$2:$A$8,$B$2:$B$8,5,6,7,7,$C267, "Chart 1")</f>
        <v>242.59500000000003</v>
      </c>
      <c r="E267">
        <v>169.56249999999997</v>
      </c>
    </row>
    <row r="268" spans="1:5" x14ac:dyDescent="0.25">
      <c r="A268">
        <f t="shared" si="8"/>
        <v>244</v>
      </c>
      <c r="C268" s="2">
        <f t="shared" si="11"/>
        <v>0.13333333333333333</v>
      </c>
      <c r="D268">
        <f t="array" ref="D268:E268">FEvaluate_Bezier($A$2:$A$8,$B$2:$B$8,5,6,7,7,$C268, "Chart 1")</f>
        <v>243.4992592592593</v>
      </c>
      <c r="E268">
        <v>165.59259259259258</v>
      </c>
    </row>
    <row r="269" spans="1:5" x14ac:dyDescent="0.25">
      <c r="A269">
        <f t="shared" si="8"/>
        <v>245</v>
      </c>
      <c r="C269" s="2">
        <f t="shared" si="11"/>
        <v>0.16666666666666666</v>
      </c>
      <c r="D269">
        <f t="array" ref="D269:E269">FEvaluate_Bezier($A$2:$A$8,$B$2:$B$8,5,6,7,7,$C269, "Chart 1")</f>
        <v>244.42129629629633</v>
      </c>
      <c r="E269">
        <v>161.40046296296296</v>
      </c>
    </row>
    <row r="270" spans="1:5" x14ac:dyDescent="0.25">
      <c r="A270">
        <f t="shared" si="8"/>
        <v>246</v>
      </c>
      <c r="C270" s="2">
        <f t="shared" si="11"/>
        <v>0.2</v>
      </c>
      <c r="D270">
        <f t="array" ref="D270:E270">FEvaluate_Bezier($A$2:$A$8,$B$2:$B$8,5,6,7,7,$C270, "Chart 1")</f>
        <v>245.3600000000001</v>
      </c>
      <c r="E270">
        <v>156.99999999999997</v>
      </c>
    </row>
    <row r="271" spans="1:5" x14ac:dyDescent="0.25">
      <c r="A271">
        <f t="shared" si="8"/>
        <v>247</v>
      </c>
      <c r="C271" s="2">
        <f t="shared" si="11"/>
        <v>0.23333333333333334</v>
      </c>
      <c r="D271">
        <f t="array" ref="D271:E271">FEvaluate_Bezier($A$2:$A$8,$B$2:$B$8,5,6,7,7,$C271, "Chart 1")</f>
        <v>246.31425925925925</v>
      </c>
      <c r="E271">
        <v>152.40509259259261</v>
      </c>
    </row>
    <row r="272" spans="1:5" x14ac:dyDescent="0.25">
      <c r="A272">
        <f t="shared" si="8"/>
        <v>248</v>
      </c>
      <c r="C272" s="2">
        <f t="shared" si="11"/>
        <v>0.26666666666666666</v>
      </c>
      <c r="D272">
        <f t="array" ref="D272:E272">FEvaluate_Bezier($A$2:$A$8,$B$2:$B$8,5,6,7,7,$C272, "Chart 1")</f>
        <v>247.28296296296298</v>
      </c>
      <c r="E272">
        <v>147.62962962962962</v>
      </c>
    </row>
    <row r="273" spans="1:5" x14ac:dyDescent="0.25">
      <c r="A273">
        <f t="shared" si="8"/>
        <v>249</v>
      </c>
      <c r="C273" s="2">
        <f t="shared" si="11"/>
        <v>0.3</v>
      </c>
      <c r="D273">
        <f t="array" ref="D273:E273">FEvaluate_Bezier($A$2:$A$8,$B$2:$B$8,5,6,7,7,$C273, "Chart 1")</f>
        <v>248.26500000000001</v>
      </c>
      <c r="E273">
        <v>142.68750000000003</v>
      </c>
    </row>
    <row r="274" spans="1:5" x14ac:dyDescent="0.25">
      <c r="A274">
        <f t="shared" si="8"/>
        <v>250</v>
      </c>
      <c r="C274" s="2">
        <f t="shared" si="11"/>
        <v>0.33333333333333331</v>
      </c>
      <c r="D274">
        <f t="array" ref="D274:E274">FEvaluate_Bezier($A$2:$A$8,$B$2:$B$8,5,6,7,7,$C274, "Chart 1")</f>
        <v>249.25925925925932</v>
      </c>
      <c r="E274">
        <v>137.59259259259258</v>
      </c>
    </row>
    <row r="275" spans="1:5" x14ac:dyDescent="0.25">
      <c r="A275">
        <f t="shared" si="8"/>
        <v>251</v>
      </c>
      <c r="C275" s="2">
        <f t="shared" si="11"/>
        <v>0.36666666666666664</v>
      </c>
      <c r="D275">
        <f t="array" ref="D275:E275">FEvaluate_Bezier($A$2:$A$8,$B$2:$B$8,5,6,7,7,$C275, "Chart 1")</f>
        <v>250.26462962962961</v>
      </c>
      <c r="E275">
        <v>132.35879629629633</v>
      </c>
    </row>
    <row r="276" spans="1:5" x14ac:dyDescent="0.25">
      <c r="A276">
        <f t="shared" si="8"/>
        <v>252</v>
      </c>
      <c r="C276" s="2">
        <f t="shared" si="11"/>
        <v>0.4</v>
      </c>
      <c r="D276">
        <f t="array" ref="D276:E276">FEvaluate_Bezier($A$2:$A$8,$B$2:$B$8,5,6,7,7,$C276, "Chart 1")</f>
        <v>251.28000000000003</v>
      </c>
      <c r="E276">
        <v>127</v>
      </c>
    </row>
    <row r="277" spans="1:5" x14ac:dyDescent="0.25">
      <c r="A277">
        <f t="shared" si="8"/>
        <v>253</v>
      </c>
      <c r="C277" s="2">
        <f t="shared" si="11"/>
        <v>0.43333333333333335</v>
      </c>
      <c r="D277">
        <f t="array" ref="D277:E277">FEvaluate_Bezier($A$2:$A$8,$B$2:$B$8,5,6,7,7,$C277, "Chart 1")</f>
        <v>252.30425925925928</v>
      </c>
      <c r="E277">
        <v>121.5300925925926</v>
      </c>
    </row>
    <row r="278" spans="1:5" x14ac:dyDescent="0.25">
      <c r="A278">
        <f t="shared" si="8"/>
        <v>254</v>
      </c>
      <c r="C278" s="2">
        <f t="shared" si="11"/>
        <v>0.46666666666666667</v>
      </c>
      <c r="D278">
        <f t="array" ref="D278:E278">FEvaluate_Bezier($A$2:$A$8,$B$2:$B$8,5,6,7,7,$C278, "Chart 1")</f>
        <v>253.33629629629635</v>
      </c>
      <c r="E278">
        <v>115.96296296296296</v>
      </c>
    </row>
    <row r="279" spans="1:5" x14ac:dyDescent="0.25">
      <c r="A279">
        <f t="shared" si="8"/>
        <v>255</v>
      </c>
      <c r="C279" s="2">
        <f t="shared" si="11"/>
        <v>0.5</v>
      </c>
      <c r="D279">
        <f t="array" ref="D279:E279">FEvaluate_Bezier($A$2:$A$8,$B$2:$B$8,5,6,7,7,$C279, "Chart 1")</f>
        <v>254.37500000000003</v>
      </c>
      <c r="E279">
        <v>110.31250000000001</v>
      </c>
    </row>
    <row r="280" spans="1:5" x14ac:dyDescent="0.25">
      <c r="A280">
        <f t="shared" si="8"/>
        <v>256</v>
      </c>
      <c r="C280" s="2">
        <f t="shared" si="11"/>
        <v>0.53333333333333333</v>
      </c>
      <c r="D280">
        <f t="array" ref="D280:E280">FEvaluate_Bezier($A$2:$A$8,$B$2:$B$8,5,6,7,7,$C280, "Chart 1")</f>
        <v>255.41925925925929</v>
      </c>
      <c r="E280">
        <v>104.5925925925926</v>
      </c>
    </row>
    <row r="281" spans="1:5" x14ac:dyDescent="0.25">
      <c r="A281">
        <f t="shared" si="8"/>
        <v>257</v>
      </c>
      <c r="C281" s="2">
        <f t="shared" si="11"/>
        <v>0.56666666666666665</v>
      </c>
      <c r="D281">
        <f t="array" ref="D281:E281">FEvaluate_Bezier($A$2:$A$8,$B$2:$B$8,5,6,7,7,$C281, "Chart 1")</f>
        <v>256.46796296296299</v>
      </c>
      <c r="E281">
        <v>98.817129629629633</v>
      </c>
    </row>
    <row r="282" spans="1:5" x14ac:dyDescent="0.25">
      <c r="A282">
        <f t="shared" ref="A282:A294" si="12">A281+1</f>
        <v>258</v>
      </c>
      <c r="C282" s="2">
        <f t="shared" si="11"/>
        <v>0.6</v>
      </c>
      <c r="D282">
        <f t="array" ref="D282:E282">FEvaluate_Bezier($A$2:$A$8,$B$2:$B$8,5,6,7,7,$C282, "Chart 1")</f>
        <v>257.52000000000004</v>
      </c>
      <c r="E282">
        <v>93</v>
      </c>
    </row>
    <row r="283" spans="1:5" x14ac:dyDescent="0.25">
      <c r="A283">
        <f t="shared" si="12"/>
        <v>259</v>
      </c>
      <c r="C283" s="2">
        <f t="shared" si="11"/>
        <v>0.6333333333333333</v>
      </c>
      <c r="D283">
        <f t="array" ref="D283:E283">FEvaluate_Bezier($A$2:$A$8,$B$2:$B$8,5,6,7,7,$C283, "Chart 1")</f>
        <v>258.57425925925929</v>
      </c>
      <c r="E283">
        <v>87.155092592592609</v>
      </c>
    </row>
    <row r="284" spans="1:5" x14ac:dyDescent="0.25">
      <c r="A284">
        <f t="shared" si="12"/>
        <v>260</v>
      </c>
      <c r="C284" s="2">
        <f t="shared" si="11"/>
        <v>0.66666666666666663</v>
      </c>
      <c r="D284">
        <f t="array" ref="D284:E284">FEvaluate_Bezier($A$2:$A$8,$B$2:$B$8,5,6,7,7,$C284, "Chart 1")</f>
        <v>259.62962962962962</v>
      </c>
      <c r="E284">
        <v>81.296296296296276</v>
      </c>
    </row>
    <row r="285" spans="1:5" x14ac:dyDescent="0.25">
      <c r="A285">
        <f t="shared" si="12"/>
        <v>261</v>
      </c>
      <c r="C285" s="2">
        <f t="shared" si="11"/>
        <v>0.7</v>
      </c>
      <c r="D285">
        <f t="array" ref="D285:E285">FEvaluate_Bezier($A$2:$A$8,$B$2:$B$8,5,6,7,7,$C285, "Chart 1")</f>
        <v>260.68500000000006</v>
      </c>
      <c r="E285">
        <v>75.437499999999986</v>
      </c>
    </row>
    <row r="286" spans="1:5" x14ac:dyDescent="0.25">
      <c r="A286">
        <f t="shared" si="12"/>
        <v>262</v>
      </c>
      <c r="C286" s="2">
        <f t="shared" si="11"/>
        <v>0.73333333333333328</v>
      </c>
      <c r="D286">
        <f t="array" ref="D286:E286">FEvaluate_Bezier($A$2:$A$8,$B$2:$B$8,5,6,7,7,$C286, "Chart 1")</f>
        <v>261.73925925925926</v>
      </c>
      <c r="E286">
        <v>69.592592592592624</v>
      </c>
    </row>
    <row r="287" spans="1:5" x14ac:dyDescent="0.25">
      <c r="A287">
        <f t="shared" si="12"/>
        <v>263</v>
      </c>
      <c r="C287" s="2">
        <f t="shared" si="11"/>
        <v>0.76666666666666672</v>
      </c>
      <c r="D287">
        <f t="array" ref="D287:E287">FEvaluate_Bezier($A$2:$A$8,$B$2:$B$8,5,6,7,7,$C287, "Chart 1")</f>
        <v>262.79129629629637</v>
      </c>
      <c r="E287">
        <v>63.775462962962933</v>
      </c>
    </row>
    <row r="288" spans="1:5" x14ac:dyDescent="0.25">
      <c r="A288">
        <f t="shared" si="12"/>
        <v>264</v>
      </c>
      <c r="C288" s="2">
        <f t="shared" si="11"/>
        <v>0.8</v>
      </c>
      <c r="D288">
        <f t="array" ref="D288:E288">FEvaluate_Bezier($A$2:$A$8,$B$2:$B$8,5,6,7,7,$C288, "Chart 1")</f>
        <v>263.84000000000003</v>
      </c>
      <c r="E288">
        <v>57.999999999999993</v>
      </c>
    </row>
    <row r="289" spans="1:5" x14ac:dyDescent="0.25">
      <c r="A289">
        <f t="shared" si="12"/>
        <v>265</v>
      </c>
      <c r="C289" s="2">
        <f t="shared" si="11"/>
        <v>0.83333333333333337</v>
      </c>
      <c r="D289">
        <f t="array" ref="D289:E289">FEvaluate_Bezier($A$2:$A$8,$B$2:$B$8,5,6,7,7,$C289, "Chart 1")</f>
        <v>264.88425925925935</v>
      </c>
      <c r="E289">
        <v>52.28009259259256</v>
      </c>
    </row>
    <row r="290" spans="1:5" x14ac:dyDescent="0.25">
      <c r="A290">
        <f t="shared" si="12"/>
        <v>266</v>
      </c>
      <c r="C290" s="2">
        <f t="shared" si="11"/>
        <v>0.8666666666666667</v>
      </c>
      <c r="D290">
        <f t="array" ref="D290:E290">FEvaluate_Bezier($A$2:$A$8,$B$2:$B$8,5,6,7,7,$C290, "Chart 1")</f>
        <v>265.92296296296303</v>
      </c>
      <c r="E290">
        <v>46.629629629629605</v>
      </c>
    </row>
    <row r="291" spans="1:5" x14ac:dyDescent="0.25">
      <c r="A291">
        <f t="shared" si="12"/>
        <v>267</v>
      </c>
      <c r="C291" s="2">
        <f t="shared" si="11"/>
        <v>0.9</v>
      </c>
      <c r="D291">
        <f t="array" ref="D291:E291">FEvaluate_Bezier($A$2:$A$8,$B$2:$B$8,5,6,7,7,$C291, "Chart 1")</f>
        <v>266.95499999999998</v>
      </c>
      <c r="E291">
        <v>41.0625</v>
      </c>
    </row>
    <row r="292" spans="1:5" x14ac:dyDescent="0.25">
      <c r="A292">
        <f t="shared" si="12"/>
        <v>268</v>
      </c>
      <c r="C292" s="2">
        <f t="shared" si="11"/>
        <v>0.93333333333333335</v>
      </c>
      <c r="D292">
        <f t="array" ref="D292:E292">FEvaluate_Bezier($A$2:$A$8,$B$2:$B$8,5,6,7,7,$C292, "Chart 1")</f>
        <v>267.97925925925932</v>
      </c>
      <c r="E292">
        <v>35.592592592592595</v>
      </c>
    </row>
    <row r="293" spans="1:5" x14ac:dyDescent="0.25">
      <c r="A293">
        <f t="shared" si="12"/>
        <v>269</v>
      </c>
      <c r="C293" s="2">
        <f t="shared" si="11"/>
        <v>0.96666666666666667</v>
      </c>
      <c r="D293">
        <f t="array" ref="D293:E293">FEvaluate_Bezier($A$2:$A$8,$B$2:$B$8,5,6,7,7,$C293, "Chart 1")</f>
        <v>268.99462962962963</v>
      </c>
      <c r="E293">
        <v>30.233796296296301</v>
      </c>
    </row>
    <row r="294" spans="1:5" x14ac:dyDescent="0.25">
      <c r="A294" s="3">
        <f t="shared" si="12"/>
        <v>270</v>
      </c>
      <c r="B294" s="3">
        <f>$B$8</f>
        <v>25</v>
      </c>
      <c r="C294" s="4">
        <v>0</v>
      </c>
      <c r="D294" s="3">
        <f>$A$294</f>
        <v>270</v>
      </c>
      <c r="E294" s="3">
        <f>$B$8</f>
        <v>25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Lead Free</vt:lpstr>
      <vt:lpstr>Lead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</dc:creator>
  <cp:lastModifiedBy>Andy</cp:lastModifiedBy>
  <dcterms:created xsi:type="dcterms:W3CDTF">2015-04-11T12:09:36Z</dcterms:created>
  <dcterms:modified xsi:type="dcterms:W3CDTF">2015-04-11T14:23:25Z</dcterms:modified>
</cp:coreProperties>
</file>